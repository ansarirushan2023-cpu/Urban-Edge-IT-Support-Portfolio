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ec5c6429c4a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_ReadMe" sheetId="1" r:id="R85b051c334334c65"/>
    <x:sheet xmlns:r="http://schemas.openxmlformats.org/officeDocument/2006/relationships" name="Employee_Master" sheetId="2" r:id="Re899c6ceb8bd4e3d"/>
    <x:sheet xmlns:r="http://schemas.openxmlformats.org/officeDocument/2006/relationships" name="Reference_Data" sheetId="3" r:id="Rd94e3091efc04f32"/>
    <x:sheet xmlns:r="http://schemas.openxmlformats.org/officeDocument/2006/relationships" name="Helpdesk_Setup" sheetId="4" r:id="R2a5252a15cde4924"/>
    <x:sheet xmlns:r="http://schemas.openxmlformats.org/officeDocument/2006/relationships" name="IT_Ticket_Register" sheetId="5" r:id="R514cd7e08c974ef5"/>
    <x:sheet xmlns:r="http://schemas.openxmlformats.org/officeDocument/2006/relationships" name="Asset_Register" sheetId="6" r:id="R43618ea4ab604c8a"/>
    <x:sheet xmlns:r="http://schemas.openxmlformats.org/officeDocument/2006/relationships" name="User_Access_Register" sheetId="7" r:id="R0ad9440c68d14c5b"/>
    <x:sheet xmlns:r="http://schemas.openxmlformats.org/officeDocument/2006/relationships" name="Onboarding_Offboarding" sheetId="8" r:id="Rc94bdd46ae194592"/>
    <x:sheet xmlns:r="http://schemas.openxmlformats.org/officeDocument/2006/relationships" name="Knowledge_Base" sheetId="9" r:id="Rf4d82b073dfa4caf"/>
    <x:sheet xmlns:r="http://schemas.openxmlformats.org/officeDocument/2006/relationships" name="Security_Health_Check" sheetId="10" r:id="R25e3720db6d84a03"/>
    <x:sheet xmlns:r="http://schemas.openxmlformats.org/officeDocument/2006/relationships" name="IT_Dashboard" sheetId="11" r:id="Ra5ce988723714b2c"/>
    <x:sheet xmlns:r="http://schemas.openxmlformats.org/officeDocument/2006/relationships" name="Improvement_Plan" sheetId="12" r:id="R28e2977e18d84751"/>
    <x:sheet xmlns:r="http://schemas.openxmlformats.org/officeDocument/2006/relationships" name="PowerBI_Model_Guide" sheetId="13" r:id="R11145df7c32a4bf5"/>
    <x:sheet xmlns:r="http://schemas.openxmlformats.org/officeDocument/2006/relationships" name="Interview_Demo" sheetId="14" r:id="R35c1b16d446b42d3"/>
    <x:sheet xmlns:r="http://schemas.openxmlformats.org/officeDocument/2006/relationships" name="Project_Guide" sheetId="15" r:id="Rfb810a4a3e6d47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-mmm-yyyy"/>
    <x:numFmt numFmtId="201" formatCode="dd-mmm-yyyy hh:mm"/>
    <x:numFmt numFmtId="202" formatCode="0.00"/>
    <x:numFmt numFmtId="203" formatCode="0"/>
    <x:numFmt numFmtId="204" formatCode="0%"/>
    <x:numFmt numFmtId="205" formatCode="0.0"/>
    <x:numFmt numFmtId="206" formatCode="0.0%"/>
  </x:numFmts>
  <x:fonts count="2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i/>
      <x:sz val="11"/>
      <x:color rgb="FF44546A"/>
      <x:name val="Carlito"/>
    </x:font>
    <x:font>
      <x:b/>
      <x:sz val="16"/>
      <x:color rgb="FFFFFFFF"/>
      <x:name val="Carlito"/>
    </x:font>
    <x:font>
      <x:b/>
      <x:sz val="18"/>
      <x:color rgb="FF0B1F33"/>
      <x:name val="Carlito"/>
    </x:font>
    <x:font>
      <x:b/>
      <x:sz val="13"/>
      <x:color rgb="FFFFFFFF"/>
      <x:name val="Carlito"/>
    </x:font>
    <x:font>
      <x:b/>
      <x:sz val="11"/>
      <x:color rgb="FF0B1F33"/>
      <x:name val="Carlito"/>
    </x:font>
    <x:font>
      <x:b/>
      <x:sz val="20"/>
      <x:color rgb="FFFFFFFF"/>
      <x:name val="Carlito"/>
    </x:font>
    <x:font>
      <x:b/>
      <x:i/>
      <x:sz val="20"/>
      <x:color rgb="FFFFFFFF"/>
      <x:name val="Carlito"/>
    </x:font>
    <x:font>
      <x:sz val="11"/>
      <x:color rgb="FF334155"/>
      <x:name val="Carlito"/>
    </x:font>
    <x:font>
      <x:b/>
      <x:sz val="12"/>
      <x:color rgb="FFFFFFFF"/>
      <x:name val="Carlito"/>
    </x:font>
    <x:font>
      <x:sz val="11"/>
      <x:color rgb="FF0B1F33"/>
      <x:name val="Carlito"/>
    </x:font>
    <x:font>
      <x:b/>
      <x:sz val="10"/>
      <x:color rgb="FF334155"/>
      <x:name val="Carlito"/>
    </x:font>
    <x:font>
      <x:b/>
      <x:i/>
      <x:sz val="10"/>
      <x:color rgb="FF334155"/>
      <x:name val="Carlito"/>
    </x:font>
    <x:font>
      <x:sz val="10"/>
      <x:color rgb="FF334155"/>
      <x:name val="Carlito"/>
    </x:font>
    <x:font>
      <x:b/>
      <x:sz val="10"/>
      <x:color rgb="FF0B1F33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color rgb="FF334155"/>
      <x:name val="Carlito"/>
    </x:font>
    <x:font>
      <x:b/>
      <x:sz val="9"/>
      <x:color rgb="FF334155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374151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3F6F9"/>
      </x:patternFill>
    </x:fill>
    <x:fill>
      <x:patternFill patternType="solid">
        <x:fgColor rgb="FF0B1F33"/>
      </x:patternFill>
    </x:fill>
    <x:fill>
      <x:patternFill patternType="solid">
        <x:fgColor rgb="FF0E7490"/>
      </x:patternFill>
    </x:fill>
    <x:fill>
      <x:patternFill patternType="solid">
        <x:fgColor rgb="FFF1F5F9"/>
      </x:patternFill>
    </x:fill>
    <x:fill>
      <x:patternFill patternType="solid">
        <x:fgColor rgb="FFFEF3C7"/>
      </x:patternFill>
    </x:fill>
    <x:fill>
      <x:patternFill patternType="solid">
        <x:fgColor rgb="FF0B1F33"/>
      </x:patternFill>
    </x:fill>
    <x:fill>
      <x:patternFill patternType="solid">
        <x:fgColor rgb="FF0E7490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228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3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center"/>
    </x:xf>
    <x:xf numFmtId="0" fontId="8" fillId="11" borderId="0" xfId="0" applyNumberFormat="1" applyFont="1" applyFill="1" applyBorder="1" applyAlignment="1">
      <x:alignment horizontal="center" vertical="center"/>
    </x:xf>
    <x:xf numFmtId="205" fontId="8" fillId="11" borderId="0" xfId="0" applyNumberFormat="1" applyFont="1" applyFill="1" applyBorder="1" applyAlignment="1">
      <x:alignment horizontal="center" vertical="center"/>
    </x:xf>
    <x:xf numFmtId="204" fontId="8" fillId="11" borderId="0" xfId="0" applyNumberFormat="1" applyFont="1" applyFill="1" applyBorder="1" applyAlignment="1">
      <x:alignment horizontal="center" vertical="center"/>
    </x:xf>
    <x:xf numFmtId="0" fontId="9" fillId="9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 vertical="center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vertical="top" wrapText="1"/>
    </x:xf>
    <x:xf numFmtId="0" fontId="10" fillId="12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horizontal="left" vertical="center"/>
    </x:xf>
    <x:xf numFmtId="0" fontId="2" fillId="13" borderId="0" xfId="0" applyNumberFormat="1" applyFont="1" applyFill="1" applyBorder="1" applyAlignment="1">
      <x:alignment horizontal="left"/>
    </x:xf>
    <x:xf numFmtId="0" fontId="11" fillId="13" borderId="0" xfId="0" applyNumberFormat="1" applyFont="1" applyFill="1" applyBorder="1" applyAlignment="1">
      <x:alignment horizontal="left" vertical="center"/>
    </x:xf>
    <x:xf numFmtId="0" fontId="12" fillId="13" borderId="0" xfId="0" applyNumberFormat="1" applyFont="1" applyFill="1" applyBorder="1" applyAlignment="1">
      <x:alignment horizontal="left"/>
    </x:xf>
    <x:xf numFmtId="0" fontId="12" fillId="13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13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vertical="top" wrapText="1"/>
    </x:xf>
    <x:xf numFmtId="0" fontId="14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vertical="top" wrapText="1"/>
    </x:xf>
    <x:xf numFmtId="0" fontId="3" fillId="14" borderId="0" xfId="0" applyNumberFormat="1" applyFont="1" applyFill="1" applyBorder="1" applyAlignment="1">
      <x:alignment horizontal="center"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8" fillId="15" borderId="0" xfId="0" applyNumberFormat="1" applyFont="1" applyFill="1" applyBorder="1" applyAlignment="1">
      <x:alignment vertical="top" wrapText="1"/>
    </x:xf>
    <x:xf numFmtId="0" fontId="8" fillId="15" borderId="0" xfId="0" applyNumberFormat="1" applyFont="1" applyFill="1" applyBorder="1" applyAlignment="1">
      <x:alignment horizontal="center" vertical="top" wrapText="1"/>
    </x:xf>
    <x:xf numFmtId="0" fontId="8" fillId="15" borderId="0" xfId="0" applyNumberFormat="1" applyFont="1" applyFill="1" applyBorder="1" applyAlignment="1">
      <x:alignment horizontal="center" vertical="center" wrapText="1"/>
    </x:xf>
    <x:xf numFmtId="0" fontId="3" fillId="14" borderId="0" xfId="0" applyNumberFormat="1" applyFont="1" applyFill="1" applyBorder="1" applyAlignment="1">
      <x:alignment horizontal="left"/>
    </x:xf>
    <x:xf numFmtId="0" fontId="3" fillId="14" borderId="0" xfId="0" applyNumberFormat="1" applyFont="1" applyFill="1" applyBorder="1" applyAlignment="1">
      <x:alignment horizontal="left" wrapText="1"/>
    </x:xf>
    <x:xf numFmtId="0" fontId="0" fillId="13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4" fillId="13" borderId="0" xfId="0" applyNumberFormat="1" applyFont="1" applyFill="1" applyBorder="1" applyAlignment="1">
      <x:alignment wrapText="1"/>
    </x:xf>
    <x:xf numFmtId="0" fontId="14" fillId="13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 applyAlignment="1">
      <x:alignment wrapText="1"/>
    </x:xf>
    <x:xf numFmtId="0" fontId="10" fillId="15" borderId="0" xfId="0" applyNumberFormat="1" applyFont="1" applyFill="1" applyBorder="1" applyAlignment="1">
      <x:alignment vertical="top" wrapText="1"/>
    </x:xf>
    <x:xf numFmtId="206" fontId="0" fillId="15" borderId="0" xfId="0" applyNumberFormat="1" applyFont="1" applyFill="1" applyBorder="1" applyAlignment="1">
      <x:alignment wrapText="1"/>
    </x:xf>
    <x:xf numFmtId="204" fontId="0" fillId="15" borderId="0" xfId="0" applyNumberFormat="1" applyFont="1" applyFill="1" applyBorder="1" applyAlignment="1">
      <x:alignment wrapText="1"/>
    </x:xf>
    <x:xf numFmtId="0" fontId="7" fillId="13" borderId="0" xfId="0" applyNumberFormat="1" applyFont="1" applyFill="1" applyBorder="1" applyAlignment="1">
      <x:alignment vertical="center"/>
    </x:xf>
    <x:xf numFmtId="0" fontId="4" fillId="13" borderId="0" xfId="0" applyNumberFormat="1" applyFont="1" applyFill="1" applyBorder="1" applyAlignment="1">
      <x:alignment vertical="center"/>
    </x:xf>
    <x:xf numFmtId="0" fontId="15" fillId="17" borderId="0" xfId="0" applyNumberFormat="1" applyFont="1" applyFill="1" applyBorder="1"/>
    <x:xf numFmtId="0" fontId="15" fillId="17" borderId="0" xfId="0" applyNumberFormat="1" applyFont="1" applyFill="1" applyBorder="1" applyAlignment="1">
      <x:alignment wrapText="1"/>
    </x:xf>
    <x:xf numFmtId="0" fontId="11" fillId="18" borderId="0" xfId="0" applyNumberFormat="1" applyFont="1" applyFill="1" applyBorder="1" applyAlignment="1">
      <x:alignment horizontal="left" vertical="center"/>
    </x:xf>
    <x:xf numFmtId="0" fontId="12" fillId="18" borderId="0" xfId="0" applyNumberFormat="1" applyFont="1" applyFill="1" applyBorder="1" applyAlignment="1">
      <x:alignment horizontal="left" vertical="center"/>
    </x:xf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horizontal="center" vertical="center" wrapText="1"/>
    </x:xf>
    <x:xf numFmtId="0" fontId="3" fillId="18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13" fillId="18" borderId="0" xfId="0" applyNumberFormat="1" applyFont="1" applyFill="1" applyBorder="1" applyAlignment="1">
      <x:alignment wrapText="1"/>
    </x:xf>
    <x:xf numFmtId="0" fontId="10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horizontal="left"/>
    </x:xf>
    <x:xf numFmtId="0" fontId="14" fillId="18" borderId="0" xfId="0" applyNumberFormat="1" applyFont="1" applyFill="1" applyBorder="1" applyAlignment="1">
      <x:alignment vertical="top" wrapText="1"/>
    </x:xf>
    <x:xf numFmtId="0" fontId="3" fillId="18" borderId="0" xfId="0" applyNumberFormat="1" applyFont="1" applyFill="1" applyBorder="1" applyAlignment="1">
      <x:alignment horizontal="center" vertical="top" wrapText="1"/>
    </x:xf>
    <x:xf numFmtId="0" fontId="8" fillId="18" borderId="0" xfId="0" applyNumberFormat="1" applyFont="1" applyFill="1" applyBorder="1" applyAlignment="1">
      <x:alignment horizontal="center" vertical="center" wrapText="1"/>
    </x:xf>
    <x:xf numFmtId="0" fontId="3" fillId="18" borderId="0" xfId="0" applyNumberFormat="1" applyFont="1" applyFill="1" applyBorder="1" applyAlignment="1">
      <x:alignment horizontal="left" wrapText="1"/>
    </x:xf>
    <x:xf numFmtId="0" fontId="0" fillId="18" borderId="0" xfId="0" applyNumberFormat="1" applyFont="1" applyFill="1" applyBorder="1" applyAlignment="1">
      <x:alignment vertical="top" wrapText="1"/>
    </x:xf>
    <x:xf numFmtId="0" fontId="10" fillId="18" borderId="0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 applyAlignment="1">
      <x:alignment wrapText="1"/>
    </x:xf>
    <x:xf numFmtId="0" fontId="14" fillId="18" borderId="0" xfId="0" applyNumberFormat="1" applyFont="1" applyFill="1" applyBorder="1" applyAlignment="1">
      <x:alignment wrapText="1"/>
    </x:xf>
    <x:xf numFmtId="0" fontId="3" fillId="18" borderId="0" xfId="0" applyNumberFormat="1" applyFont="1" applyFill="1" applyBorder="1" applyAlignment="1">
      <x:alignment wrapText="1"/>
    </x:xf>
    <x:xf numFmtId="206" fontId="0" fillId="18" borderId="0" xfId="0" applyNumberFormat="1" applyFont="1" applyFill="1" applyBorder="1" applyAlignment="1">
      <x:alignment wrapText="1"/>
    </x:xf>
    <x:xf numFmtId="204" fontId="0" fillId="18" borderId="0" xfId="0" applyNumberFormat="1" applyFont="1" applyFill="1" applyBorder="1" applyAlignment="1">
      <x:alignment wrapText="1"/>
    </x:xf>
    <x:xf numFmtId="0" fontId="16" fillId="18" borderId="0" xfId="0" applyNumberFormat="1" applyFont="1" applyFill="1" applyBorder="1" applyAlignment="1">
      <x:alignment horizontal="left" vertical="center"/>
    </x:xf>
    <x:xf numFmtId="0" fontId="17" fillId="18" borderId="0" xfId="0" applyNumberFormat="1" applyFont="1" applyFill="1" applyBorder="1" applyAlignment="1">
      <x:alignment horizontal="left" vertical="center"/>
    </x:xf>
    <x:xf numFmtId="0" fontId="16" fillId="18" borderId="0" xfId="0" applyNumberFormat="1" applyFont="1" applyFill="1" applyBorder="1"/>
    <x:xf numFmtId="0" fontId="16" fillId="18" borderId="0" xfId="0" applyNumberFormat="1" applyFont="1" applyFill="1" applyBorder="1" applyAlignment="1">
      <x:alignment horizontal="center" vertical="center" wrapText="1"/>
    </x:xf>
    <x:xf numFmtId="0" fontId="16" fillId="18" borderId="0" xfId="0" applyNumberFormat="1" applyFont="1" applyFill="1" applyBorder="1" applyAlignment="1">
      <x:alignment vertical="center" wrapText="1"/>
    </x:xf>
    <x:xf numFmtId="0" fontId="18" fillId="18" borderId="0" xfId="0" applyNumberFormat="1" applyFont="1" applyFill="1" applyBorder="1"/>
    <x:xf numFmtId="0" fontId="18" fillId="18" borderId="0" xfId="0" applyNumberFormat="1" applyFont="1" applyFill="1" applyBorder="1" applyAlignment="1">
      <x:alignment wrapText="1"/>
    </x:xf>
    <x:xf numFmtId="0" fontId="16" fillId="18" borderId="0" xfId="0" applyNumberFormat="1" applyFont="1" applyFill="1" applyBorder="1" applyAlignment="1">
      <x:alignment wrapText="1"/>
    </x:xf>
    <x:xf numFmtId="0" fontId="16" fillId="18" borderId="0" xfId="0" applyNumberFormat="1" applyFont="1" applyFill="1" applyBorder="1" applyAlignment="1">
      <x:alignment horizontal="left"/>
    </x:xf>
    <x:xf numFmtId="0" fontId="16" fillId="18" borderId="0" xfId="0" applyNumberFormat="1" applyFont="1" applyFill="1" applyBorder="1" applyAlignment="1">
      <x:alignment vertical="top" wrapText="1"/>
    </x:xf>
    <x:xf numFmtId="0" fontId="16" fillId="18" borderId="0" xfId="0" applyNumberFormat="1" applyFont="1" applyFill="1" applyBorder="1" applyAlignment="1">
      <x:alignment horizontal="center" vertical="top" wrapText="1"/>
    </x:xf>
    <x:xf numFmtId="0" fontId="16" fillId="18" borderId="0" xfId="0" applyNumberFormat="1" applyFont="1" applyFill="1" applyBorder="1" applyAlignment="1">
      <x:alignment horizontal="left" wrapText="1"/>
    </x:xf>
    <x:xf numFmtId="0" fontId="18" fillId="18" borderId="0" xfId="0" applyNumberFormat="1" applyFont="1" applyFill="1" applyBorder="1" applyAlignment="1">
      <x:alignment vertical="top" wrapText="1"/>
    </x:xf>
    <x:xf numFmtId="206" fontId="18" fillId="18" borderId="0" xfId="0" applyNumberFormat="1" applyFont="1" applyFill="1" applyBorder="1" applyAlignment="1">
      <x:alignment wrapText="1"/>
    </x:xf>
    <x:xf numFmtId="204" fontId="18" fillId="18" borderId="0" xfId="0" applyNumberFormat="1" applyFont="1" applyFill="1" applyBorder="1" applyAlignment="1">
      <x:alignment wrapText="1"/>
    </x:xf>
    <x:xf numFmtId="0" fontId="16" fillId="18" borderId="0" xfId="0" applyNumberFormat="1" applyFont="1" applyFill="1" applyBorder="1" applyAlignment="1">
      <x:alignment vertical="center"/>
    </x:xf>
    <x:xf numFmtId="0" fontId="18" fillId="18" borderId="0" xfId="0" applyNumberFormat="1" applyFont="1" applyFill="1" applyBorder="1" applyAlignment="1">
      <x:alignment vertical="center"/>
    </x:xf>
    <x:xf numFmtId="0" fontId="18" fillId="18" borderId="0" xfId="0" applyNumberFormat="1" applyFont="1" applyFill="1" applyBorder="1" applyAlignment="1">
      <x:alignment vertical="center" wrapText="1"/>
    </x:xf>
    <x:xf numFmtId="0" fontId="16" fillId="18" borderId="0" xfId="0" applyNumberFormat="1" applyFont="1" applyFill="1" applyBorder="1" applyAlignment="1">
      <x:alignment horizontal="left" vertical="center" wrapText="1"/>
    </x:xf>
    <x:xf numFmtId="206" fontId="18" fillId="18" borderId="0" xfId="0" applyNumberFormat="1" applyFont="1" applyFill="1" applyBorder="1" applyAlignment="1">
      <x:alignment vertical="center" wrapText="1"/>
    </x:xf>
    <x:xf numFmtId="204" fontId="18" fillId="18" borderId="0" xfId="0" applyNumberFormat="1" applyFont="1" applyFill="1" applyBorder="1" applyAlignment="1">
      <x:alignment vertical="center" wrapText="1"/>
    </x:xf>
    <x:xf numFmtId="0" fontId="17" fillId="18" borderId="0" xfId="0" applyNumberFormat="1" applyFont="1" applyFill="1" applyBorder="1" applyAlignment="1">
      <x:alignment horizontal="left" vertical="center" wrapText="1"/>
    </x:xf>
    <x:xf numFmtId="0" fontId="16" fillId="13" borderId="0" xfId="0" applyNumberFormat="1" applyFont="1" applyFill="1" applyBorder="1" applyAlignment="1">
      <x:alignment horizontal="left" vertical="center" wrapText="1"/>
    </x:xf>
    <x:xf numFmtId="0" fontId="17" fillId="13" borderId="0" xfId="0" applyNumberFormat="1" applyFont="1" applyFill="1" applyBorder="1" applyAlignment="1">
      <x:alignment horizontal="left" vertical="center" wrapText="1"/>
    </x:xf>
    <x:xf numFmtId="0" fontId="11" fillId="13" borderId="0" xfId="0" applyNumberFormat="1" applyFont="1" applyFill="1" applyBorder="1" applyAlignment="1">
      <x:alignment horizontal="left" vertical="center" wrapText="1"/>
    </x:xf>
    <x:xf numFmtId="0" fontId="12" fillId="13" borderId="0" xfId="0" applyNumberFormat="1" applyFont="1" applyFill="1" applyBorder="1" applyAlignment="1">
      <x:alignment horizontal="left" vertical="center" wrapText="1"/>
    </x:xf>
    <x:xf numFmtId="0" fontId="16" fillId="14" borderId="0" xfId="0" applyNumberFormat="1" applyFont="1" applyFill="1" applyBorder="1" applyAlignment="1">
      <x:alignment vertical="center" wrapText="1"/>
    </x:xf>
    <x:xf numFmtId="0" fontId="3" fillId="14" borderId="0" xfId="0" applyNumberFormat="1" applyFont="1" applyFill="1" applyBorder="1" applyAlignment="1">
      <x:alignment vertical="center" wrapText="1"/>
    </x:xf>
    <x:xf numFmtId="0" fontId="18" fillId="15" borderId="0" xfId="0" applyNumberFormat="1" applyFont="1" applyFill="1" applyBorder="1" applyAlignment="1">
      <x:alignment vertical="center" wrapText="1"/>
    </x:xf>
    <x:xf numFmtId="0" fontId="13" fillId="15" borderId="0" xfId="0" applyNumberFormat="1" applyFont="1" applyFill="1" applyBorder="1" applyAlignment="1">
      <x:alignment vertical="center" wrapText="1"/>
    </x:xf>
    <x:xf numFmtId="0" fontId="16" fillId="16" borderId="0" xfId="0" applyNumberFormat="1" applyFont="1" applyFill="1" applyBorder="1" applyAlignment="1">
      <x:alignment vertical="center" wrapText="1"/>
    </x:xf>
    <x:xf numFmtId="0" fontId="19" fillId="16" borderId="0" xfId="0" applyNumberFormat="1" applyFont="1" applyFill="1" applyBorder="1" applyAlignment="1">
      <x:alignment vertical="center" wrapText="1"/>
    </x:xf>
    <x:xf numFmtId="0" fontId="16" fillId="13" borderId="0" xfId="0" applyNumberFormat="1" applyFont="1" applyFill="1" applyBorder="1" applyAlignment="1">
      <x:alignment vertical="center" wrapText="1"/>
    </x:xf>
    <x:xf numFmtId="0" fontId="14" fillId="13" borderId="0" xfId="0" applyNumberFormat="1" applyFont="1" applyFill="1" applyBorder="1" applyAlignment="1">
      <x:alignment vertical="center" wrapText="1"/>
    </x:xf>
    <x:xf numFmtId="0" fontId="16" fillId="14" borderId="0" xfId="0" applyNumberFormat="1" applyFont="1" applyFill="1" applyBorder="1" applyAlignment="1">
      <x:alignment horizontal="center" vertical="center" wrapText="1"/>
    </x:xf>
    <x:xf numFmtId="0" fontId="20" fillId="14" borderId="0" xfId="0" applyNumberFormat="1" applyFont="1" applyFill="1" applyBorder="1" applyAlignment="1">
      <x:alignment horizontal="center" vertical="center" wrapText="1"/>
    </x:xf>
    <x:xf numFmtId="0" fontId="16" fillId="15" borderId="0" xfId="0" applyNumberFormat="1" applyFont="1" applyFill="1" applyBorder="1" applyAlignment="1">
      <x:alignment horizontal="center" vertical="center" wrapText="1"/>
    </x:xf>
    <x:xf numFmtId="0" fontId="16" fillId="14" borderId="0" xfId="0" applyNumberFormat="1" applyFont="1" applyFill="1" applyBorder="1" applyAlignment="1">
      <x:alignment horizontal="left" vertical="center" wrapText="1"/>
    </x:xf>
    <x:xf numFmtId="0" fontId="21" fillId="14" borderId="0" xfId="0" applyNumberFormat="1" applyFont="1" applyFill="1" applyBorder="1" applyAlignment="1">
      <x:alignment horizontal="left" vertical="center" wrapText="1"/>
    </x:xf>
    <x:xf numFmtId="0" fontId="16" fillId="15" borderId="0" xfId="0" applyNumberFormat="1" applyFont="1" applyFill="1" applyBorder="1" applyAlignment="1">
      <x:alignment vertical="center" wrapText="1"/>
    </x:xf>
    <x:xf numFmtId="0" fontId="22" fillId="15" borderId="0" xfId="0" applyNumberFormat="1" applyFont="1" applyFill="1" applyBorder="1" applyAlignment="1">
      <x:alignment vertical="center" wrapText="1"/>
    </x:xf>
    <x:xf numFmtId="0" fontId="23" fillId="15" borderId="0" xfId="0" applyNumberFormat="1" applyFont="1" applyFill="1" applyBorder="1" applyAlignment="1">
      <x:alignment vertical="center" wrapText="1"/>
    </x:xf>
    <x:xf numFmtId="0" fontId="21" fillId="14" borderId="0" xfId="0" applyNumberFormat="1" applyFont="1" applyFill="1" applyBorder="1" applyAlignment="1">
      <x:alignment vertical="center" wrapText="1"/>
    </x:xf>
    <x:xf numFmtId="206" fontId="18" fillId="15" borderId="0" xfId="0" applyNumberFormat="1" applyFont="1" applyFill="1" applyBorder="1" applyAlignment="1">
      <x:alignment vertical="center" wrapText="1"/>
    </x:xf>
    <x:xf numFmtId="204" fontId="18" fillId="15" borderId="0" xfId="0" applyNumberFormat="1" applyFont="1" applyFill="1" applyBorder="1" applyAlignment="1">
      <x:alignment vertical="center" wrapText="1"/>
    </x:xf>
    <x:xf numFmtId="206" fontId="22" fillId="15" borderId="0" xfId="0" applyNumberFormat="1" applyFont="1" applyFill="1" applyBorder="1" applyAlignment="1">
      <x:alignment vertical="center" wrapText="1"/>
    </x:xf>
    <x:xf numFmtId="204" fontId="22" fillId="15" borderId="0" xfId="0" applyNumberFormat="1" applyFont="1" applyFill="1" applyBorder="1" applyAlignment="1">
      <x:alignment vertical="center" wrapText="1"/>
    </x:xf>
    <x:xf numFmtId="0" fontId="10" fillId="15" borderId="0" xfId="0" applyNumberFormat="1" applyFont="1" applyFill="1" applyBorder="1" applyAlignment="1">
      <x:alignment vertical="center" wrapText="1"/>
    </x:xf>
    <x:xf numFmtId="206" fontId="10" fillId="15" borderId="0" xfId="0" applyNumberFormat="1" applyFont="1" applyFill="1" applyBorder="1" applyAlignment="1">
      <x:alignment vertical="center" wrapText="1"/>
    </x:xf>
    <x:xf numFmtId="204" fontId="10" fillId="15" borderId="0" xfId="0" applyNumberFormat="1" applyFont="1" applyFill="1" applyBorder="1" applyAlignment="1">
      <x:alignment vertical="center" wrapText="1"/>
    </x:xf>
    <x:xf numFmtId="0" fontId="10" fillId="18" borderId="0" xfId="0" applyNumberFormat="1" applyFont="1" applyFill="1" applyBorder="1" applyAlignment="1">
      <x:alignment vertical="center" wrapText="1"/>
    </x:xf>
    <x:xf numFmtId="0" fontId="19" fillId="18" borderId="0" xfId="0" applyNumberFormat="1" applyFont="1" applyFill="1" applyBorder="1" applyAlignment="1">
      <x:alignment vertical="center" wrapText="1"/>
    </x:xf>
    <x:xf numFmtId="0" fontId="16" fillId="17" borderId="0" xfId="0" applyNumberFormat="1" applyFont="1" applyFill="1" applyBorder="1" applyAlignment="1">
      <x:alignment vertical="center" wrapText="1"/>
    </x:xf>
    <x:xf numFmtId="0" fontId="19" fillId="17" borderId="0" xfId="0" applyNumberFormat="1" applyFont="1" applyFill="1" applyBorder="1" applyAlignment="1">
      <x:alignment vertical="center" wrapText="1"/>
    </x:xf>
    <x:xf numFmtId="0" fontId="11" fillId="18" borderId="0" xfId="0" applyNumberFormat="1" applyFont="1" applyFill="1" applyBorder="1" applyAlignment="1">
      <x:alignment horizontal="left" vertical="center" wrapText="1"/>
    </x:xf>
    <x:xf numFmtId="0" fontId="12" fillId="18" borderId="0" xfId="0" applyNumberFormat="1" applyFont="1" applyFill="1" applyBorder="1" applyAlignment="1">
      <x:alignment horizontal="left" vertical="center" wrapText="1"/>
    </x:xf>
    <x:xf numFmtId="0" fontId="13" fillId="18" borderId="0" xfId="0" applyNumberFormat="1" applyFont="1" applyFill="1" applyBorder="1" applyAlignment="1">
      <x:alignment vertical="center" wrapText="1"/>
    </x:xf>
    <x:xf numFmtId="0" fontId="14" fillId="18" borderId="0" xfId="0" applyNumberFormat="1" applyFont="1" applyFill="1" applyBorder="1" applyAlignment="1">
      <x:alignment vertical="center" wrapText="1"/>
    </x:xf>
    <x:xf numFmtId="0" fontId="20" fillId="18" borderId="0" xfId="0" applyNumberFormat="1" applyFont="1" applyFill="1" applyBorder="1" applyAlignment="1">
      <x:alignment horizontal="center" vertical="center" wrapText="1"/>
    </x:xf>
    <x:xf numFmtId="0" fontId="21" fillId="18" borderId="0" xfId="0" applyNumberFormat="1" applyFont="1" applyFill="1" applyBorder="1" applyAlignment="1">
      <x:alignment horizontal="left" vertical="center" wrapText="1"/>
    </x:xf>
    <x:xf numFmtId="0" fontId="22" fillId="18" borderId="0" xfId="0" applyNumberFormat="1" applyFont="1" applyFill="1" applyBorder="1" applyAlignment="1">
      <x:alignment vertical="center" wrapText="1"/>
    </x:xf>
    <x:xf numFmtId="0" fontId="23" fillId="18" borderId="0" xfId="0" applyNumberFormat="1" applyFont="1" applyFill="1" applyBorder="1" applyAlignment="1">
      <x:alignment vertical="center" wrapText="1"/>
    </x:xf>
    <x:xf numFmtId="0" fontId="21" fillId="18" borderId="0" xfId="0" applyNumberFormat="1" applyFont="1" applyFill="1" applyBorder="1" applyAlignment="1">
      <x:alignment vertical="center" wrapText="1"/>
    </x:xf>
    <x:xf numFmtId="206" fontId="10" fillId="18" borderId="0" xfId="0" applyNumberFormat="1" applyFont="1" applyFill="1" applyBorder="1" applyAlignment="1">
      <x:alignment vertical="center" wrapText="1"/>
    </x:xf>
    <x:xf numFmtId="204" fontId="10" fillId="18" borderId="0" xfId="0" applyNumberFormat="1" applyFont="1" applyFill="1" applyBorder="1" applyAlignment="1">
      <x:alignment vertical="center" wrapText="1"/>
    </x:xf>
    <x:xf numFmtId="206" fontId="16" fillId="18" borderId="0" xfId="0" applyNumberFormat="1" applyFont="1" applyFill="1" applyBorder="1" applyAlignment="1">
      <x:alignment vertical="center" wrapText="1"/>
    </x:xf>
    <x:xf numFmtId="204" fontId="16" fillId="18" borderId="0" xfId="0" applyNumberFormat="1" applyFont="1" applyFill="1" applyBorder="1" applyAlignment="1">
      <x:alignment vertical="center" wrapText="1"/>
    </x:xf>
    <x:xf numFmtId="0" fontId="21" fillId="14" borderId="0" xfId="0" applyNumberFormat="1" applyFont="1" applyFill="1" applyBorder="1" applyAlignment="1">
      <x:alignment horizontal="center" vertical="center" wrapText="1"/>
    </x:xf>
    <x:xf numFmtId="206" fontId="16" fillId="15" borderId="0" xfId="0" applyNumberFormat="1" applyFont="1" applyFill="1" applyBorder="1" applyAlignment="1">
      <x:alignment vertical="center" wrapText="1"/>
    </x:xf>
    <x:xf numFmtId="204" fontId="16" fillId="15" borderId="0" xfId="0" applyNumberFormat="1" applyFont="1" applyFill="1" applyBorder="1" applyAlignment="1">
      <x:alignment vertical="center" wrapText="1"/>
    </x:xf>
    <x:xf numFmtId="206" fontId="23" fillId="15" borderId="0" xfId="0" applyNumberFormat="1" applyFont="1" applyFill="1" applyBorder="1" applyAlignment="1">
      <x:alignment vertical="center" wrapText="1"/>
    </x:xf>
    <x:xf numFmtId="204" fontId="23" fillId="1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7"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5700"/>
      </x:font>
      <x:fill>
        <x:patternFill>
          <x:bgColor rgb="FFFCE5CD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color rgb="FF9C5700"/>
      </x:font>
      <x:fill>
        <x:patternFill>
          <x:bgColor rgb="FFFCE5CD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c7e9d1b3734856" /><Relationship Type="http://schemas.openxmlformats.org/officeDocument/2006/relationships/theme" Target="/xl/theme/theme1.xml" Id="R437676b73ca94819" /><Relationship Type="http://schemas.openxmlformats.org/officeDocument/2006/relationships/sharedStrings" Target="/xl/sharedStrings.xml" Id="Rcad747d0fc7e461d" /><Relationship Type="http://schemas.openxmlformats.org/officeDocument/2006/relationships/worksheet" Target="/xl/worksheets/sheet1.xml" Id="R85b051c334334c65" /><Relationship Type="http://schemas.openxmlformats.org/officeDocument/2006/relationships/worksheet" Target="/xl/worksheets/sheet2.xml" Id="Re899c6ceb8bd4e3d" /><Relationship Type="http://schemas.openxmlformats.org/officeDocument/2006/relationships/worksheet" Target="/xl/worksheets/sheet3.xml" Id="Rd94e3091efc04f32" /><Relationship Type="http://schemas.openxmlformats.org/officeDocument/2006/relationships/worksheet" Target="/xl/worksheets/sheet4.xml" Id="R2a5252a15cde4924" /><Relationship Type="http://schemas.openxmlformats.org/officeDocument/2006/relationships/worksheet" Target="/xl/worksheets/sheet5.xml" Id="R514cd7e08c974ef5" /><Relationship Type="http://schemas.openxmlformats.org/officeDocument/2006/relationships/worksheet" Target="/xl/worksheets/sheet6.xml" Id="R43618ea4ab604c8a" /><Relationship Type="http://schemas.openxmlformats.org/officeDocument/2006/relationships/worksheet" Target="/xl/worksheets/sheet7.xml" Id="R0ad9440c68d14c5b" /><Relationship Type="http://schemas.openxmlformats.org/officeDocument/2006/relationships/worksheet" Target="/xl/worksheets/sheet8.xml" Id="Rc94bdd46ae194592" /><Relationship Type="http://schemas.openxmlformats.org/officeDocument/2006/relationships/worksheet" Target="/xl/worksheets/sheet9.xml" Id="Rf4d82b073dfa4caf" /><Relationship Type="http://schemas.openxmlformats.org/officeDocument/2006/relationships/worksheet" Target="/xl/worksheets/sheet10.xml" Id="R25e3720db6d84a03" /><Relationship Type="http://schemas.openxmlformats.org/officeDocument/2006/relationships/worksheet" Target="/xl/worksheets/sheet11.xml" Id="Ra5ce988723714b2c" /><Relationship Type="http://schemas.openxmlformats.org/officeDocument/2006/relationships/worksheet" Target="/xl/worksheets/sheet12.xml" Id="R28e2977e18d84751" /><Relationship Type="http://schemas.openxmlformats.org/officeDocument/2006/relationships/worksheet" Target="/xl/worksheets/sheet13.xml" Id="R11145df7c32a4bf5" /><Relationship Type="http://schemas.openxmlformats.org/officeDocument/2006/relationships/worksheet" Target="/xl/worksheets/sheet14.xml" Id="R35c1b16d446b42d3" /><Relationship Type="http://schemas.openxmlformats.org/officeDocument/2006/relationships/worksheet" Target="/xl/worksheets/sheet15.xml" Id="Rfb810a4a3e6d47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6464a0ef8d4f7c" /><Relationship Type="http://schemas.openxmlformats.org/officeDocument/2006/relationships/chart" Target="/xl/drawings/charts/chart2.xml" Id="R27726445d70c472e" /><Relationship Type="http://schemas.openxmlformats.org/officeDocument/2006/relationships/chart" Target="/xl/drawings/charts/chart3.xml" Id="R9a5a1ab8f4f54ee6" /><Relationship Type="http://schemas.openxmlformats.org/officeDocument/2006/relationships/chart" Target="/xl/drawings/charts/chart4.xml" Id="R0e676b3e4c4d492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Tickets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'IT_Dashboard'!$A$13:$A$20</c:f>
              <c:strCache>
                <c:ptCount val="0"/>
              </c:strCache>
            </c:strRef>
          </c:cat>
          <c:val>
            <c:numRef>
              <c:f>'IT_Dashboard'!$B$13:$B$20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Tickets by Priority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'IT_Dashboard'!$D$13:$D$16</c:f>
              <c:strCache>
                <c:ptCount val="0"/>
              </c:strCache>
            </c:strRef>
          </c:cat>
          <c:val>
            <c:numRef>
              <c:f>'IT_Dashboard'!$E$13:$E$16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Resolution SLA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'IT_Dashboard'!$G$13:$G$14</c:f>
              <c:strCache>
                <c:ptCount val="0"/>
              </c:strCache>
            </c:strRef>
          </c:cat>
          <c:val>
            <c:numRef>
              <c:f>'IT_Dashboard'!$H$13:$H$14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Asset Compliance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'IT_Dashboard'!$J$13:$J$14</c:f>
              <c:strCache>
                <c:ptCount val="0"/>
              </c:strCache>
            </c:strRef>
          </c:cat>
          <c:val>
            <c:numRef>
              <c:f>'IT_Dashboard'!$K$13:$K$14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29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6464a0ef8d4f7c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726445d70c472e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6</xdr:col>
      <xdr:colOff>0</xdr:colOff>
      <xdr:row>61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5a1ab8f4f54ee6"/>
        </a:graphicData>
      </a:graphic>
    </xdr:graphicFrame>
    <xdr:clientData/>
  </xdr:twoCellAnchor>
  <xdr:twoCellAnchor>
    <xdr:from>
      <xdr:col>6</xdr:col>
      <xdr:colOff>0</xdr:colOff>
      <xdr:row>46</xdr:row>
      <xdr:rowOff>0</xdr:rowOff>
    </xdr:from>
    <xdr:to>
      <xdr:col>12</xdr:col>
      <xdr:colOff>0</xdr:colOff>
      <xdr:row>61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676b3e4c4d492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mployeeMasterTable" displayName="EmployeeMasterTable" ref="A1:N31" headerRowCount="1" totalsRowCount="0" totalsRowShown="0">
  <x:tableColumns count="14">
    <x:tableColumn id="1" name="Employee_ID"/>
    <x:tableColumn id="2" name="Employee_Name"/>
    <x:tableColumn id="3" name="Job_Title"/>
    <x:tableColumn id="4" name="Department"/>
    <x:tableColumn id="5" name="Employment_Type"/>
    <x:tableColumn id="6" name="Work_Location"/>
    <x:tableColumn id="7" name="Manager_ID"/>
    <x:tableColumn id="8" name="Start_Date"/>
    <x:tableColumn id="9" name="Employment_Status"/>
    <x:tableColumn id="10" name="M365_License"/>
    <x:tableColumn id="11" name="MFA_Status"/>
    <x:tableColumn id="12" name="User_Account_Status"/>
    <x:tableColumn id="13" name="Notes"/>
    <x:tableColumn id="14" name="Demo_Em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TTicketsTable" displayName="ITTicketsTable" ref="A8:AC58" headerRowCount="1" totalsRowCount="0" totalsRowShown="0">
  <x:tableColumns count="29">
    <x:tableColumn id="1" name="Ticket_ID"/>
    <x:tableColumn id="2" name="Created_DateTime"/>
    <x:tableColumn id="3" name="Employee_ID"/>
    <x:tableColumn id="4" name="Employee_Name"/>
    <x:tableColumn id="5" name="Department"/>
    <x:tableColumn id="6" name="Work_Location"/>
    <x:tableColumn id="7" name="Channel"/>
    <x:tableColumn id="8" name="Category"/>
    <x:tableColumn id="9" name="Subcategory"/>
    <x:tableColumn id="10" name="Issue_Summary"/>
    <x:tableColumn id="11" name="Impact"/>
    <x:tableColumn id="12" name="Urgency"/>
    <x:tableColumn id="13" name="Priority"/>
    <x:tableColumn id="14" name="Status"/>
    <x:tableColumn id="15" name="Assigned_To"/>
    <x:tableColumn id="16" name="First_Response_DateTime"/>
    <x:tableColumn id="17" name="Resolved_DateTime"/>
    <x:tableColumn id="18" name="Response_Target_Hours"/>
    <x:tableColumn id="19" name="Resolution_Target_Hours"/>
    <x:tableColumn id="20" name="Response_Hours"/>
    <x:tableColumn id="21" name="Resolution_Hours"/>
    <x:tableColumn id="22" name="Response_SLA_Status"/>
    <x:tableColumn id="23" name="Resolution_SLA_Status"/>
    <x:tableColumn id="24" name="Resolution_Summary"/>
    <x:tableColumn id="25" name="Root_Cause"/>
    <x:tableColumn id="26" name="Knowledge_Article"/>
    <x:tableColumn id="27" name="Customer_Satisfaction"/>
    <x:tableColumn id="28" name="Reopened"/>
    <x:tableColumn id="29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ssetRegisterTable" displayName="AssetRegisterTable" ref="A2:U48" headerRowCount="1" totalsRowCount="0" totalsRowShown="0">
  <x:tableColumns count="21">
    <x:tableColumn id="1" name="Asset_ID"/>
    <x:tableColumn id="2" name="Asset_Type"/>
    <x:tableColumn id="3" name="Manufacturer"/>
    <x:tableColumn id="4" name="Model"/>
    <x:tableColumn id="5" name="Serial_Number"/>
    <x:tableColumn id="6" name="Assigned_Employee_ID"/>
    <x:tableColumn id="7" name="Employee_Name"/>
    <x:tableColumn id="8" name="Department"/>
    <x:tableColumn id="9" name="Work_Location"/>
    <x:tableColumn id="10" name="Purchase_Date"/>
    <x:tableColumn id="11" name="Warranty_Expiry"/>
    <x:tableColumn id="12" name="OS_or_Firmware"/>
    <x:tableColumn id="13" name="Device_Status"/>
    <x:tableColumn id="14" name="Encryption"/>
    <x:tableColumn id="15" name="Defender_Status"/>
    <x:tableColumn id="16" name="Patch_Status"/>
    <x:tableColumn id="17" name="Last_Patch_Date"/>
    <x:tableColumn id="18" name="Last_Audit_Date"/>
    <x:tableColumn id="19" name="Warranty_Status"/>
    <x:tableColumn id="20" name="Compliance_Status"/>
    <x:tableColumn id="21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serAccessRegisterTable" displayName="UserAccessRegisterTable" ref="A2:P102" headerRowCount="1" totalsRowCount="0" totalsRowShown="0">
  <x:tableColumns count="16">
    <x:tableColumn id="1" name="Access_ID"/>
    <x:tableColumn id="2" name="Employee_ID"/>
    <x:tableColumn id="3" name="Employee_Name"/>
    <x:tableColumn id="4" name="Department"/>
    <x:tableColumn id="5" name="System_or_Resource"/>
    <x:tableColumn id="6" name="Access_Level"/>
    <x:tableColumn id="7" name="Business_Reason"/>
    <x:tableColumn id="8" name="Approved_By"/>
    <x:tableColumn id="9" name="Date_Granted"/>
    <x:tableColumn id="10" name="Review_Date"/>
    <x:tableColumn id="11" name="Review_Status"/>
    <x:tableColumn id="12" name="MFA_Required"/>
    <x:tableColumn id="13" name="MFA_Status"/>
    <x:tableColumn id="14" name="Access_Risk"/>
    <x:tableColumn id="15" name="Least_Privilege_Check"/>
    <x:tableColumn id="16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KnowledgeBaseTable" displayName="KnowledgeBaseTable" ref="A2:I27" headerRowCount="1" totalsRowCount="0" totalsRowShown="0">
  <x:tableColumns count="9">
    <x:tableColumn id="1" name="Article_ID"/>
    <x:tableColumn id="2" name="Title"/>
    <x:tableColumn id="3" name="Category"/>
    <x:tableColumn id="4" name="Typical_Symptoms"/>
    <x:tableColumn id="5" name="Quick_Resolution_Steps"/>
    <x:tableColumn id="6" name="Escalate_When"/>
    <x:tableColumn id="7" name="Owner"/>
    <x:tableColumn id="8" name="Last_Reviewed"/>
    <x:tableColumn id="9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ecurityHealthTable" displayName="SecurityHealthTable" ref="A2:L17" headerRowCount="1" totalsRowCount="0" totalsRowShown="0">
  <x:tableColumns count="12">
    <x:tableColumn id="1" name="Control_ID"/>
    <x:tableColumn id="2" name="Security_Area"/>
    <x:tableColumn id="3" name="Control"/>
    <x:tableColumn id="4" name="Current_State"/>
    <x:tableColumn id="5" name="Risk_Rating"/>
    <x:tableColumn id="6" name="Risk_Score"/>
    <x:tableColumn id="7" name="Target_State"/>
    <x:tableColumn id="8" name="Recommendation"/>
    <x:tableColumn id="9" name="Owner"/>
    <x:tableColumn id="10" name="Target_Date"/>
    <x:tableColumn id="11" name="Status"/>
    <x:tableColumn id="12" name="Evidence_or_Metri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6176f5f44c46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6291ee2ab03249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a9cf5142ded940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a237bdb3a6e44d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ace3dfb8cd50438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13f3f2d1cb1b4c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a133cb63c7724efb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16" hidden="0" customWidth="1"/>
    <x:col min="5" max="5" width="16" hidden="0" customWidth="1"/>
    <x:col min="6" max="6" width="18" hidden="0" customWidth="1"/>
    <x:col min="7" max="7" width="28" hidden="0" customWidth="1"/>
    <x:col min="8" max="8" width="16" hidden="0" customWidth="1"/>
  </x:cols>
  <x:sheetData>
    <x:row r="1" ht="27" customHeight="1">
      <x:c r="A1" s="180" t="str">
        <x:v>Urban Edge SA — IT Support &amp; Digital Operations Hub</x:v>
      </x:c>
      <x:c r="B1" s="180"/>
      <x:c r="C1" s="180"/>
      <x:c r="D1" s="180"/>
      <x:c r="E1" s="180"/>
      <x:c r="F1" s="180"/>
      <x:c r="G1" s="180"/>
      <x:c r="H1" s="180"/>
    </x:row>
    <x:row r="2" ht="27" customHeight="1">
      <x:c r="A2" s="181"/>
      <x:c r="B2" s="181"/>
      <x:c r="C2" s="181"/>
      <x:c r="D2" s="181"/>
      <x:c r="E2" s="181"/>
      <x:c r="F2" s="181"/>
      <x:c r="G2" s="181"/>
      <x:c r="H2" s="181"/>
    </x:row>
    <x:row r="3" ht="23" customHeight="1">
      <x:c r="A3" s="183" t="str">
        <x:v>Independent portfolio concept | Prepared by Rushan Ansari | IT Support / Administration</x:v>
      </x:c>
      <x:c r="B3" s="183"/>
      <x:c r="C3" s="183"/>
      <x:c r="D3" s="183"/>
      <x:c r="E3" s="183"/>
      <x:c r="F3" s="183"/>
      <x:c r="G3" s="183"/>
      <x:c r="H3" s="183"/>
    </x:row>
    <x:row r="4" ht="28" customHeight="1">
      <x:c r="A4" s="159"/>
      <x:c r="B4" s="159"/>
      <x:c r="C4" s="160"/>
      <x:c r="D4" s="159"/>
      <x:c r="E4" s="159"/>
      <x:c r="F4" s="173"/>
      <x:c r="G4" s="173"/>
      <x:c r="H4" s="173"/>
    </x:row>
    <x:row r="5" ht="24" customHeight="1">
      <x:c r="A5" s="185" t="str">
        <x:v>Purpose: demonstrate a practical, structured approach to internal IT support for a growing residential construction business — covering helpdesk operations, asset control, user access, onboarding/offboarding, knowledge management, basic security controls, reporting and continuous improvement.</x:v>
      </x:c>
      <x:c r="B5" s="185"/>
      <x:c r="C5" s="185"/>
      <x:c r="D5" s="185"/>
      <x:c r="E5" s="185"/>
      <x:c r="F5" s="185"/>
      <x:c r="G5" s="185"/>
      <x:c r="H5" s="185"/>
    </x:row>
    <x:row r="6" ht="24" customHeight="1">
      <x:c r="A6" s="185"/>
      <x:c r="B6" s="185"/>
      <x:c r="C6" s="185"/>
      <x:c r="D6" s="185"/>
      <x:c r="E6" s="185"/>
      <x:c r="F6" s="185"/>
      <x:c r="G6" s="185"/>
      <x:c r="H6" s="185"/>
    </x:row>
    <x:row r="7">
      <x:c r="A7" s="173"/>
      <x:c r="B7" s="173"/>
      <x:c r="C7" s="173"/>
      <x:c r="D7" s="173"/>
      <x:c r="E7" s="173"/>
      <x:c r="F7" s="173"/>
      <x:c r="G7" s="173"/>
      <x:c r="H7" s="173"/>
    </x:row>
    <x:row r="8" ht="24" customHeight="1">
      <x:c r="A8" s="187" t="str">
        <x:v>IMPORTANT DISCLAIMER — This is an independently created demonstration using 100% fictional/mock data. It is not an audit of Urban Edge SA, does not represent Urban Edge SA's actual IT environment, and contains no confidential or internal company information.</x:v>
      </x:c>
      <x:c r="B8" s="187"/>
      <x:c r="C8" s="187"/>
      <x:c r="D8" s="187"/>
      <x:c r="E8" s="187"/>
      <x:c r="F8" s="187"/>
      <x:c r="G8" s="187"/>
      <x:c r="H8" s="187"/>
    </x:row>
    <x:row r="9" ht="24" customHeight="1">
      <x:c r="A9" s="187"/>
      <x:c r="B9" s="187"/>
      <x:c r="C9" s="187"/>
      <x:c r="D9" s="187"/>
      <x:c r="E9" s="187"/>
      <x:c r="F9" s="187"/>
      <x:c r="G9" s="187"/>
      <x:c r="H9" s="187"/>
    </x:row>
    <x:row r="10">
      <x:c r="A10" s="174"/>
      <x:c r="B10" s="174"/>
      <x:c r="C10" s="174"/>
      <x:c r="D10" s="174"/>
      <x:c r="E10" s="174"/>
      <x:c r="F10" s="174"/>
      <x:c r="G10" s="174"/>
      <x:c r="H10" s="174"/>
    </x:row>
    <x:row r="11" ht="22" customHeight="1">
      <x:c r="A11" s="189" t="str">
        <x:v>PROJECT AT A GLANCE</x:v>
      </x:c>
      <x:c r="B11" s="189"/>
      <x:c r="C11" s="189"/>
      <x:c r="D11" s="189"/>
      <x:c r="E11" s="189"/>
      <x:c r="F11" s="189"/>
      <x:c r="G11" s="189"/>
      <x:c r="H11" s="189"/>
    </x:row>
    <x:row r="12" ht="22" customHeight="1">
      <x:c r="A12" s="223" t="str">
        <x:v>Employees</x:v>
      </x:c>
      <x:c r="B12" s="223"/>
      <x:c r="C12" s="223" t="str">
        <x:v>Helpdesk Tickets</x:v>
      </x:c>
      <x:c r="D12" s="223"/>
      <x:c r="E12" s="223" t="str">
        <x:v>IT Assets</x:v>
      </x:c>
      <x:c r="F12" s="223"/>
      <x:c r="G12" s="223" t="str">
        <x:v>Access Records</x:v>
      </x:c>
      <x:c r="H12" s="223"/>
    </x:row>
    <x:row r="13" ht="28" customHeight="1">
      <x:c r="A13" s="116" t="n">
        <x:f>COUNTA(Employee_Master!A2:A31)</x:f>
        <x:v>30</x:v>
      </x:c>
      <x:c r="B13" s="116"/>
      <x:c r="C13" s="116" t="n">
        <x:f>COUNTA(IT_Ticket_Register!A9:A200)</x:f>
        <x:v>50</x:v>
      </x:c>
      <x:c r="D13" s="116"/>
      <x:c r="E13" s="116" t="n">
        <x:f>COUNTA(Asset_Register!A3:A200)</x:f>
        <x:v>46</x:v>
      </x:c>
      <x:c r="F13" s="116"/>
      <x:c r="G13" s="116" t="n">
        <x:f>COUNTA(User_Access_Register!A3:A200)</x:f>
        <x:v>100</x:v>
      </x:c>
      <x:c r="H13" s="116"/>
    </x:row>
    <x:row r="14" ht="28" customHeight="1">
      <x:c r="A14" s="116"/>
      <x:c r="B14" s="116"/>
      <x:c r="C14" s="116"/>
      <x:c r="D14" s="116"/>
      <x:c r="E14" s="116"/>
      <x:c r="F14" s="116"/>
      <x:c r="G14" s="116"/>
      <x:c r="H14" s="116"/>
    </x:row>
    <x:row r="15">
      <x:c r="A15" s="173"/>
      <x:c r="B15" s="173"/>
      <x:c r="C15" s="173"/>
      <x:c r="D15" s="173"/>
      <x:c r="E15" s="173"/>
      <x:c r="F15" s="173"/>
      <x:c r="G15" s="173"/>
      <x:c r="H15" s="173"/>
    </x:row>
    <x:row r="16" ht="28" customHeight="1">
      <x:c r="A16" s="194" t="str">
        <x:v>Component</x:v>
      </x:c>
      <x:c r="B16" s="194" t="str">
        <x:v>What It Demonstrates</x:v>
      </x:c>
      <x:c r="C16" s="194" t="str">
        <x:v>Core Sheet</x:v>
      </x:c>
      <x:c r="D16" s="194" t="str">
        <x:v>Mock Output</x:v>
      </x:c>
      <x:c r="E16" s="194" t="str">
        <x:v>Component</x:v>
      </x:c>
      <x:c r="F16" s="194" t="str">
        <x:v>What It Demonstrates</x:v>
      </x:c>
      <x:c r="G16" s="194" t="str">
        <x:v>Core Sheet</x:v>
      </x:c>
      <x:c r="H16" s="194" t="str">
        <x:v>Mock Output</x:v>
      </x:c>
    </x:row>
    <x:row r="17" ht="32" customHeight="1">
      <x:c r="A17" s="196" t="str">
        <x:v>Helpdesk</x:v>
      </x:c>
      <x:c r="B17" s="196" t="str">
        <x:v>Ticket lifecycle, priority, SLA, root cause</x:v>
      </x:c>
      <x:c r="C17" s="196" t="str">
        <x:v>IT_Ticket_Register</x:v>
      </x:c>
      <x:c r="D17" s="196" t="str">
        <x:v>50 tickets</x:v>
      </x:c>
      <x:c r="E17" s="196" t="str">
        <x:v>Knowledge Base</x:v>
      </x:c>
      <x:c r="F17" s="196" t="str">
        <x:v>Reusable troubleshooting and escalation guidance</x:v>
      </x:c>
      <x:c r="G17" s="196" t="str">
        <x:v>Knowledge_Base</x:v>
      </x:c>
      <x:c r="H17" s="196" t="str">
        <x:v>30 articles</x:v>
      </x:c>
    </x:row>
    <x:row r="18" ht="32" customHeight="1">
      <x:c r="A18" s="197" t="str">
        <x:v>Asset Management</x:v>
      </x:c>
      <x:c r="B18" s="197" t="str">
        <x:v>Ownership, warranty, patching, encryption</x:v>
      </x:c>
      <x:c r="C18" s="197" t="str">
        <x:v>Asset_Register</x:v>
      </x:c>
      <x:c r="D18" s="197" t="str">
        <x:v>46 assets</x:v>
      </x:c>
      <x:c r="E18" s="197" t="str">
        <x:v>Security Check</x:v>
      </x:c>
      <x:c r="F18" s="196" t="str">
        <x:v>MFA, endpoint, access and backup controls</x:v>
      </x:c>
      <x:c r="G18" s="196" t="str">
        <x:v>Security_Health_Check</x:v>
      </x:c>
      <x:c r="H18" s="196" t="str">
        <x:v>15 controls</x:v>
      </x:c>
    </x:row>
    <x:row r="19" ht="32" customHeight="1">
      <x:c r="A19" s="196" t="str">
        <x:v>User Access</x:v>
      </x:c>
      <x:c r="B19" s="196" t="str">
        <x:v>Approval, MFA, least privilege, access reviews</x:v>
      </x:c>
      <x:c r="C19" s="196" t="str">
        <x:v>User_Access_Register</x:v>
      </x:c>
      <x:c r="D19" s="196" t="str">
        <x:v>100 records</x:v>
      </x:c>
      <x:c r="E19" s="196" t="str">
        <x:v>Dashboard</x:v>
      </x:c>
      <x:c r="F19" s="196" t="str">
        <x:v>Management KPIs and exception reporting</x:v>
      </x:c>
      <x:c r="G19" s="196" t="str">
        <x:v>IT_Dashboard</x:v>
      </x:c>
      <x:c r="H19" s="196" t="str">
        <x:v>12 KPI cards</x:v>
      </x:c>
    </x:row>
    <x:row r="20" ht="32" customHeight="1">
      <x:c r="A20" s="196" t="str">
        <x:v>Lifecycle</x:v>
      </x:c>
      <x:c r="B20" s="196" t="str">
        <x:v>Consistent starter / leaver IT process</x:v>
      </x:c>
      <x:c r="C20" s="196" t="str">
        <x:v>Onboarding_Offboarding</x:v>
      </x:c>
      <x:c r="D20" s="196" t="str">
        <x:v>4 examples</x:v>
      </x:c>
      <x:c r="E20" s="196" t="str">
        <x:v>Improvement Plan</x:v>
      </x:c>
      <x:c r="F20" s="196" t="str">
        <x:v>First-30-days and prioritised actions</x:v>
      </x:c>
      <x:c r="G20" s="196" t="str">
        <x:v>Improvement_Plan</x:v>
      </x:c>
      <x:c r="H20" s="196" t="str">
        <x:v>10 initiatives</x:v>
      </x:c>
    </x:row>
    <x:row r="21">
      <x:c r="A21" s="173"/>
      <x:c r="B21" s="173"/>
      <x:c r="C21" s="173"/>
      <x:c r="D21" s="173"/>
      <x:c r="E21" s="173"/>
      <x:c r="F21" s="173"/>
      <x:c r="G21" s="173"/>
      <x:c r="H21" s="173"/>
    </x:row>
    <x:row r="22" ht="22" customHeight="1">
      <x:c r="A22" s="189" t="str">
        <x:v>MOCK SCENARIO — EXAMPLE MANAGEMENT INDICATORS</x:v>
      </x:c>
      <x:c r="B22" s="189"/>
      <x:c r="C22" s="189"/>
      <x:c r="D22" s="189"/>
      <x:c r="E22" s="189"/>
      <x:c r="F22" s="189"/>
      <x:c r="G22" s="189"/>
      <x:c r="H22" s="189"/>
    </x:row>
    <x:row r="23" ht="28" customHeight="1">
      <x:c r="A23" s="198" t="str">
        <x:v>Indicator</x:v>
      </x:c>
      <x:c r="B23" s="198" t="str">
        <x:v>Mock Result</x:v>
      </x:c>
      <x:c r="C23" s="198" t="str">
        <x:v>Why It Matters</x:v>
      </x:c>
      <x:c r="D23" s="198" t="str">
        <x:v>Source</x:v>
      </x:c>
      <x:c r="E23" s="198" t="str">
        <x:v>Indicator</x:v>
      </x:c>
      <x:c r="F23" s="198" t="str">
        <x:v>Mock Result</x:v>
      </x:c>
      <x:c r="G23" s="198" t="str">
        <x:v>Why It Matters</x:v>
      </x:c>
      <x:c r="H23" s="198" t="str">
        <x:v>Source</x:v>
      </x:c>
    </x:row>
    <x:row r="24" ht="32" customHeight="1">
      <x:c r="A24" s="196" t="str">
        <x:v>Open / active tickets</x:v>
      </x:c>
      <x:c r="B24" s="203" t="n">
        <x:f>IT_Dashboard!C4</x:f>
        <x:v>8</x:v>
      </x:c>
      <x:c r="C24" s="196" t="str">
        <x:v>Current support workload still requiring action.</x:v>
      </x:c>
      <x:c r="D24" s="196" t="str">
        <x:v>IT_Dashboard</x:v>
      </x:c>
      <x:c r="E24" s="196" t="str">
        <x:v>Overdue access reviews</x:v>
      </x:c>
      <x:c r="F24" s="203" t="n">
        <x:f>IT_Dashboard!G8</x:f>
        <x:v>4</x:v>
      </x:c>
      <x:c r="G24" s="196" t="str">
        <x:v>Permissions requiring validation.</x:v>
      </x:c>
      <x:c r="H24" s="196" t="str">
        <x:v>IT_Dashboard</x:v>
      </x:c>
    </x:row>
    <x:row r="25" ht="32" customHeight="1">
      <x:c r="A25" s="196" t="str">
        <x:v>Resolution SLA breaches</x:v>
      </x:c>
      <x:c r="B25" s="203" t="n">
        <x:f>IT_Dashboard!G4</x:f>
        <x:v>24</x:v>
      </x:c>
      <x:c r="C25" s="196" t="str">
        <x:v>Service-performance exceptions requiring analysis.</x:v>
      </x:c>
      <x:c r="D25" s="196" t="str">
        <x:v>IT_Dashboard</x:v>
      </x:c>
      <x:c r="E25" s="196" t="str">
        <x:v>High security risks</x:v>
      </x:c>
      <x:c r="F25" s="203" t="n">
        <x:f>IT_Dashboard!I8</x:f>
        <x:v>5</x:v>
      </x:c>
      <x:c r="G25" s="196" t="str">
        <x:v>Highest-rated mock security controls.</x:v>
      </x:c>
      <x:c r="H25" s="196" t="str">
        <x:v>IT_Dashboard</x:v>
      </x:c>
    </x:row>
    <x:row r="26" ht="32" customHeight="1">
      <x:c r="A26" s="196" t="str">
        <x:v>Asset compliance</x:v>
      </x:c>
      <x:c r="B26" s="204" t="n">
        <x:f>IT_Dashboard!C8</x:f>
        <x:v>0.8043478260869565</x:v>
      </x:c>
      <x:c r="C26" s="196" t="str">
        <x:v>Assets meeting the prototype's basic controls.</x:v>
      </x:c>
      <x:c r="D26" s="196" t="str">
        <x:v>IT_Dashboard</x:v>
      </x:c>
      <x:c r="E26" s="196" t="str">
        <x:v>UE029 onboarding progress</x:v>
      </x:c>
      <x:c r="F26" s="205" t="n">
        <x:f>IT_Dashboard!K8</x:f>
        <x:v>0.7</x:v>
      </x:c>
      <x:c r="G26" s="196" t="str">
        <x:v>Example of an incomplete starter workflow.</x:v>
      </x:c>
      <x:c r="H26" s="196" t="str">
        <x:v>IT_Dashboard</x:v>
      </x:c>
    </x:row>
    <x:row r="27">
      <x:c r="A27" s="173"/>
      <x:c r="B27" s="173"/>
      <x:c r="C27" s="173"/>
      <x:c r="D27" s="173"/>
      <x:c r="E27" s="173"/>
      <x:c r="F27" s="173"/>
      <x:c r="G27" s="173"/>
      <x:c r="H27" s="173"/>
    </x:row>
    <x:row r="28" ht="22" customHeight="1">
      <x:c r="A28" s="189" t="str">
        <x:v>SUGGESTED 5-MINUTE REVIEW PATH</x:v>
      </x:c>
      <x:c r="B28" s="189"/>
      <x:c r="C28" s="189"/>
      <x:c r="D28" s="189"/>
      <x:c r="E28" s="189"/>
      <x:c r="F28" s="189"/>
      <x:c r="G28" s="189"/>
      <x:c r="H28" s="189"/>
    </x:row>
    <x:row r="29" ht="24" customHeight="1">
      <x:c r="A29" s="206" t="str">
        <x:v>1</x:v>
      </x:c>
      <x:c r="B29" s="207" t="str">
        <x:v>IT_Ticket_Register</x:v>
      </x:c>
      <x:c r="C29" s="173" t="str">
        <x:v>See how an issue is logged, prioritised, measured and resolved.</x:v>
      </x:c>
      <x:c r="D29" s="173"/>
      <x:c r="E29" s="173"/>
      <x:c r="F29" s="173"/>
      <x:c r="G29" s="173"/>
      <x:c r="H29" s="173"/>
    </x:row>
    <x:row r="30" ht="24" customHeight="1">
      <x:c r="A30" s="206" t="str">
        <x:v>2</x:v>
      </x:c>
      <x:c r="B30" s="207" t="str">
        <x:v>Asset_Register</x:v>
      </x:c>
      <x:c r="C30" s="173" t="str">
        <x:v>See ownership, warranty and endpoint compliance tracking.</x:v>
      </x:c>
      <x:c r="D30" s="173"/>
      <x:c r="E30" s="173"/>
      <x:c r="F30" s="173"/>
      <x:c r="G30" s="173"/>
      <x:c r="H30" s="173"/>
    </x:row>
    <x:row r="31" ht="24" customHeight="1">
      <x:c r="A31" s="206" t="str">
        <x:v>3</x:v>
      </x:c>
      <x:c r="B31" s="207" t="str">
        <x:v>IT_Dashboard</x:v>
      </x:c>
      <x:c r="C31" s="173" t="str">
        <x:v>See how operational data becomes management information.</x:v>
      </x:c>
      <x:c r="D31" s="173"/>
      <x:c r="E31" s="173"/>
      <x:c r="F31" s="173"/>
      <x:c r="G31" s="173"/>
      <x:c r="H31" s="173"/>
    </x:row>
    <x:row r="32" ht="24" customHeight="1">
      <x:c r="A32" s="206" t="str">
        <x:v>4</x:v>
      </x:c>
      <x:c r="B32" s="207" t="str">
        <x:v>Improvement_Plan</x:v>
      </x:c>
      <x:c r="C32" s="173" t="str">
        <x:v>See how findings are converted into practical next actions.</x:v>
      </x:c>
      <x:c r="D32" s="173"/>
      <x:c r="E32" s="173"/>
      <x:c r="F32" s="173"/>
      <x:c r="G32" s="173"/>
      <x:c r="H32" s="173"/>
    </x:row>
    <x:row r="33">
      <x:c r="A33" s="173"/>
      <x:c r="B33" s="173"/>
      <x:c r="C33" s="173"/>
      <x:c r="D33" s="173"/>
      <x:c r="E33" s="173"/>
      <x:c r="F33" s="173"/>
      <x:c r="G33" s="173"/>
      <x:c r="H33" s="173"/>
    </x:row>
    <x:row r="34" ht="24" customHeight="1">
      <x:c r="A34" s="209" t="str">
        <x:v>Future enhancement: a Power BI report can be added later using the existing relational structure. The current GitHub version is deliberately reviewable on any computer without requiring Power BI.</x:v>
      </x:c>
      <x:c r="B34" s="209"/>
      <x:c r="C34" s="209"/>
      <x:c r="D34" s="209"/>
      <x:c r="E34" s="209"/>
      <x:c r="F34" s="209"/>
      <x:c r="G34" s="209"/>
      <x:c r="H34" s="209"/>
    </x:row>
    <x:row r="35" ht="24" customHeight="1">
      <x:c r="A35" s="209"/>
      <x:c r="B35" s="209"/>
      <x:c r="C35" s="209"/>
      <x:c r="D35" s="209"/>
      <x:c r="E35" s="209"/>
      <x:c r="F35" s="209"/>
      <x:c r="G35" s="209"/>
      <x:c r="H35" s="209"/>
    </x:row>
  </x:sheetData>
  <x:mergeCells>
    <x:mergeCell ref="A10:H10"/>
    <x:mergeCell ref="A16:H16"/>
    <x:mergeCell ref="A17:E17"/>
    <x:mergeCell ref="A1:H2"/>
    <x:mergeCell ref="A3:H3"/>
    <x:mergeCell ref="A5:H6"/>
    <x:mergeCell ref="A8:H9"/>
    <x:mergeCell ref="A11:H11"/>
    <x:mergeCell ref="A12:B12"/>
    <x:mergeCell ref="C12:D12"/>
    <x:mergeCell ref="E12:F12"/>
    <x:mergeCell ref="G12:H12"/>
    <x:mergeCell ref="A13:B14"/>
    <x:mergeCell ref="C13:D14"/>
    <x:mergeCell ref="E13:F14"/>
    <x:mergeCell ref="G13:H14"/>
    <x:mergeCell ref="A22:H22"/>
    <x:mergeCell ref="A28:H28"/>
    <x:mergeCell ref="C29:H29"/>
    <x:mergeCell ref="C30:H30"/>
    <x:mergeCell ref="C31:H31"/>
    <x:mergeCell ref="C32:H32"/>
    <x:mergeCell ref="A34:H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32" hidden="0" customWidth="1"/>
    <x:col min="5" max="5" width="16" hidden="0" customWidth="1"/>
    <x:col min="6" max="6" width="22" hidden="0" customWidth="1"/>
    <x:col min="7" max="7" width="12" hidden="0" customWidth="1"/>
    <x:col min="8" max="8" width="14" hidden="0" customWidth="1"/>
    <x:col min="9" max="9" width="16" hidden="0" customWidth="1"/>
    <x:col min="10" max="10" width="18" hidden="0" customWidth="1"/>
    <x:col min="11" max="11" width="14" hidden="0" customWidth="1"/>
    <x:col min="12" max="12" width="20" hidden="0" customWidth="1"/>
    <x:col min="13" max="13" width="32" hidden="0" customWidth="1"/>
    <x:col min="14" max="14" width="34" hidden="0" customWidth="1"/>
  </x:cols>
  <x:sheetData>
    <x:row r="1">
      <x:c r="A1" s="34" t="str">
        <x:v>Employee_ID</x:v>
      </x:c>
      <x:c r="B1" s="34" t="str">
        <x:v>Employee_Name</x:v>
      </x:c>
      <x:c r="C1" s="34" t="str">
        <x:v>Job_Title</x:v>
      </x:c>
      <x:c r="D1" s="34" t="str">
        <x:v>Department</x:v>
      </x:c>
      <x:c r="E1" s="34" t="str">
        <x:v>Employment_Type</x:v>
      </x:c>
      <x:c r="F1" s="34" t="str">
        <x:v>Work_Location</x:v>
      </x:c>
      <x:c r="G1" s="34" t="str">
        <x:v>Manager_ID</x:v>
      </x:c>
      <x:c r="H1" s="34" t="str">
        <x:v>Start_Date</x:v>
      </x:c>
      <x:c r="I1" s="34" t="str">
        <x:v>Employment_Status</x:v>
      </x:c>
      <x:c r="J1" s="34" t="str">
        <x:v>M365_License</x:v>
      </x:c>
      <x:c r="K1" s="34" t="str">
        <x:v>MFA_Status</x:v>
      </x:c>
      <x:c r="L1" s="34" t="str">
        <x:v>User_Account_Status</x:v>
      </x:c>
      <x:c r="M1" s="34" t="str">
        <x:v>Notes</x:v>
      </x:c>
      <x:c r="N1" s="34" t="str">
        <x:v>Demo_Email</x:v>
      </x:c>
    </x:row>
    <x:row r="2">
      <x:c r="A2" s="38" t="str">
        <x:v>UE001</x:v>
      </x:c>
      <x:c r="B2" s="38" t="str">
        <x:v>Demo Employee 01</x:v>
      </x:c>
      <x:c r="C2" s="38" t="str">
        <x:v>Managing Director</x:v>
      </x:c>
      <x:c r="D2" s="38" t="str">
        <x:v>Management</x:v>
      </x:c>
      <x:c r="E2" s="38" t="str">
        <x:v>Full-time</x:v>
      </x:c>
      <x:c r="F2" s="38" t="str">
        <x:v>Pooraka Head Office</x:v>
      </x:c>
      <x:c r="G2" s="38" t="str"/>
      <x:c r="H2" s="39" t="n">
        <x:v>43661</x:v>
      </x:c>
      <x:c r="I2" s="38" t="str">
        <x:v>Active</x:v>
      </x:c>
      <x:c r="J2" s="38" t="str">
        <x:v>Business Premium</x:v>
      </x:c>
      <x:c r="K2" s="38" t="str">
        <x:v>Enabled</x:v>
      </x:c>
      <x:c r="L2" s="38" t="str">
        <x:v>Enabled</x:v>
      </x:c>
      <x:c r="M2" s="38" t="str">
        <x:v>Executive / all-business oversight</x:v>
      </x:c>
      <x:c r="N2" s="38" t="str">
        <x:f>LOWER(SUBSTITUTE(B2," ","."))&amp;"@urbanedge-demo.local"</x:f>
        <x:v>demo.employee.01@urbanedge-demo.local</x:v>
      </x:c>
    </x:row>
    <x:row r="3">
      <x:c r="A3" s="38" t="str">
        <x:v>UE002</x:v>
      </x:c>
      <x:c r="B3" s="38" t="str">
        <x:v>Demo Employee 02</x:v>
      </x:c>
      <x:c r="C3" s="38" t="str">
        <x:v>General Manager</x:v>
      </x:c>
      <x:c r="D3" s="38" t="str">
        <x:v>Management</x:v>
      </x:c>
      <x:c r="E3" s="38" t="str">
        <x:v>Full-time</x:v>
      </x:c>
      <x:c r="F3" s="38" t="str">
        <x:v>Pooraka Head Office</x:v>
      </x:c>
      <x:c r="G3" s="38" t="str">
        <x:v>UE001</x:v>
      </x:c>
      <x:c r="H3" s="39" t="n">
        <x:v>43871</x:v>
      </x:c>
      <x:c r="I3" s="38" t="str">
        <x:v>Active</x:v>
      </x:c>
      <x:c r="J3" s="38" t="str">
        <x:v>Business Premium</x:v>
      </x:c>
      <x:c r="K3" s="38" t="str">
        <x:v>Enabled</x:v>
      </x:c>
      <x:c r="L3" s="38" t="str">
        <x:v>Enabled</x:v>
      </x:c>
      <x:c r="M3" s="38" t="str">
        <x:v>Business operations oversight</x:v>
      </x:c>
      <x:c r="N3" s="38" t="str">
        <x:f>LOWER(SUBSTITUTE(B3," ","."))&amp;"@urbanedge-demo.local"</x:f>
        <x:v>demo.employee.02@urbanedge-demo.local</x:v>
      </x:c>
    </x:row>
    <x:row r="4">
      <x:c r="A4" s="38" t="str">
        <x:v>UE003</x:v>
      </x:c>
      <x:c r="B4" s="38" t="str">
        <x:v>Demo Employee 03</x:v>
      </x:c>
      <x:c r="C4" s="38" t="str">
        <x:v>Operations Manager</x:v>
      </x:c>
      <x:c r="D4" s="38" t="str">
        <x:v>Management</x:v>
      </x:c>
      <x:c r="E4" s="38" t="str">
        <x:v>Full-time</x:v>
      </x:c>
      <x:c r="F4" s="38" t="str">
        <x:v>Pooraka Head Office</x:v>
      </x:c>
      <x:c r="G4" s="38" t="str">
        <x:v>UE002</x:v>
      </x:c>
      <x:c r="H4" s="39" t="n">
        <x:v>44298</x:v>
      </x:c>
      <x:c r="I4" s="38" t="str">
        <x:v>Active</x:v>
      </x:c>
      <x:c r="J4" s="38" t="str">
        <x:v>Business Premium</x:v>
      </x:c>
      <x:c r="K4" s="38" t="str">
        <x:v>Enabled</x:v>
      </x:c>
      <x:c r="L4" s="38" t="str">
        <x:v>Enabled</x:v>
      </x:c>
      <x:c r="M4" s="38" t="str">
        <x:v>Operational coordination</x:v>
      </x:c>
      <x:c r="N4" s="38" t="str">
        <x:f>LOWER(SUBSTITUTE(B4," ","."))&amp;"@urbanedge-demo.local"</x:f>
        <x:v>demo.employee.03@urbanedge-demo.local</x:v>
      </x:c>
    </x:row>
    <x:row r="5">
      <x:c r="A5" s="38" t="str">
        <x:v>UE004</x:v>
      </x:c>
      <x:c r="B5" s="38" t="str">
        <x:v>Demo Employee 04</x:v>
      </x:c>
      <x:c r="C5" s="38" t="str">
        <x:v>Office Administrator</x:v>
      </x:c>
      <x:c r="D5" s="38" t="str">
        <x:v>Administration</x:v>
      </x:c>
      <x:c r="E5" s="38" t="str">
        <x:v>Full-time</x:v>
      </x:c>
      <x:c r="F5" s="38" t="str">
        <x:v>Pooraka Head Office</x:v>
      </x:c>
      <x:c r="G5" s="38" t="str">
        <x:v>UE003</x:v>
      </x:c>
      <x:c r="H5" s="39" t="n">
        <x:v>44578</x:v>
      </x:c>
      <x:c r="I5" s="38" t="str">
        <x:v>Active</x:v>
      </x:c>
      <x:c r="J5" s="38" t="str">
        <x:v>Business Standard</x:v>
      </x:c>
      <x:c r="K5" s="38" t="str">
        <x:v>Enabled</x:v>
      </x:c>
      <x:c r="L5" s="38" t="str">
        <x:v>Enabled</x:v>
      </x:c>
      <x:c r="M5" s="38" t="str">
        <x:v>General administration</x:v>
      </x:c>
      <x:c r="N5" s="38" t="str">
        <x:f>LOWER(SUBSTITUTE(B5," ","."))&amp;"@urbanedge-demo.local"</x:f>
        <x:v>demo.employee.04@urbanedge-demo.local</x:v>
      </x:c>
    </x:row>
    <x:row r="6">
      <x:c r="A6" s="38" t="str">
        <x:v>UE005</x:v>
      </x:c>
      <x:c r="B6" s="38" t="str">
        <x:v>Demo Employee 05</x:v>
      </x:c>
      <x:c r="C6" s="38" t="str">
        <x:v>Contracts Administrator</x:v>
      </x:c>
      <x:c r="D6" s="38" t="str">
        <x:v>Administration</x:v>
      </x:c>
      <x:c r="E6" s="38" t="str">
        <x:v>Full-time</x:v>
      </x:c>
      <x:c r="F6" s="38" t="str">
        <x:v>Pooraka Head Office</x:v>
      </x:c>
      <x:c r="G6" s="38" t="str">
        <x:v>UE003</x:v>
      </x:c>
      <x:c r="H6" s="39" t="n">
        <x:v>44991</x:v>
      </x:c>
      <x:c r="I6" s="38" t="str">
        <x:v>Active</x:v>
      </x:c>
      <x:c r="J6" s="38" t="str">
        <x:v>Business Standard</x:v>
      </x:c>
      <x:c r="K6" s="38" t="str">
        <x:v>Enabled</x:v>
      </x:c>
      <x:c r="L6" s="38" t="str">
        <x:v>Enabled</x:v>
      </x:c>
      <x:c r="M6" s="38" t="str">
        <x:v>Contract documentation</x:v>
      </x:c>
      <x:c r="N6" s="38" t="str">
        <x:f>LOWER(SUBSTITUTE(B6," ","."))&amp;"@urbanedge-demo.local"</x:f>
        <x:v>demo.employee.05@urbanedge-demo.local</x:v>
      </x:c>
    </x:row>
    <x:row r="7">
      <x:c r="A7" s="38" t="str">
        <x:v>UE006</x:v>
      </x:c>
      <x:c r="B7" s="38" t="str">
        <x:v>Demo Employee 06</x:v>
      </x:c>
      <x:c r="C7" s="38" t="str">
        <x:v>Reception &amp; Administration Officer</x:v>
      </x:c>
      <x:c r="D7" s="38" t="str">
        <x:v>Administration</x:v>
      </x:c>
      <x:c r="E7" s="38" t="str">
        <x:v>Full-time</x:v>
      </x:c>
      <x:c r="F7" s="38" t="str">
        <x:v>Pooraka Head Office</x:v>
      </x:c>
      <x:c r="G7" s="38" t="str">
        <x:v>UE004</x:v>
      </x:c>
      <x:c r="H7" s="39" t="n">
        <x:v>45446</x:v>
      </x:c>
      <x:c r="I7" s="38" t="str">
        <x:v>Active</x:v>
      </x:c>
      <x:c r="J7" s="38" t="str">
        <x:v>Business Standard</x:v>
      </x:c>
      <x:c r="K7" s="38" t="str">
        <x:v>Enabled</x:v>
      </x:c>
      <x:c r="L7" s="38" t="str">
        <x:v>Enabled</x:v>
      </x:c>
      <x:c r="M7" s="38" t="str">
        <x:v>Front office support</x:v>
      </x:c>
      <x:c r="N7" s="38" t="str">
        <x:f>LOWER(SUBSTITUTE(B7," ","."))&amp;"@urbanedge-demo.local"</x:f>
        <x:v>demo.employee.06@urbanedge-demo.local</x:v>
      </x:c>
    </x:row>
    <x:row r="8">
      <x:c r="A8" s="38" t="str">
        <x:v>UE007</x:v>
      </x:c>
      <x:c r="B8" s="38" t="str">
        <x:v>Demo Employee 07</x:v>
      </x:c>
      <x:c r="C8" s="38" t="str">
        <x:v>Selections Coordinator</x:v>
      </x:c>
      <x:c r="D8" s="38" t="str">
        <x:v>Administration</x:v>
      </x:c>
      <x:c r="E8" s="38" t="str">
        <x:v>Full-time</x:v>
      </x:c>
      <x:c r="F8" s="38" t="str">
        <x:v>Pooraka Head Office</x:v>
      </x:c>
      <x:c r="G8" s="38" t="str">
        <x:v>UE003</x:v>
      </x:c>
      <x:c r="H8" s="39" t="n">
        <x:v>45705</x:v>
      </x:c>
      <x:c r="I8" s="38" t="str">
        <x:v>Active</x:v>
      </x:c>
      <x:c r="J8" s="38" t="str">
        <x:v>Business Standard</x:v>
      </x:c>
      <x:c r="K8" s="38" t="str">
        <x:v>Enabled</x:v>
      </x:c>
      <x:c r="L8" s="38" t="str">
        <x:v>Enabled</x:v>
      </x:c>
      <x:c r="M8" s="38" t="str">
        <x:v>Selections centre coordination</x:v>
      </x:c>
      <x:c r="N8" s="38" t="str">
        <x:f>LOWER(SUBSTITUTE(B8," ","."))&amp;"@urbanedge-demo.local"</x:f>
        <x:v>demo.employee.07@urbanedge-demo.local</x:v>
      </x:c>
    </x:row>
    <x:row r="9">
      <x:c r="A9" s="38" t="str">
        <x:v>UE008</x:v>
      </x:c>
      <x:c r="B9" s="38" t="str">
        <x:v>Demo Employee 08</x:v>
      </x:c>
      <x:c r="C9" s="38" t="str">
        <x:v>Sales Manager</x:v>
      </x:c>
      <x:c r="D9" s="38" t="str">
        <x:v>Sales</x:v>
      </x:c>
      <x:c r="E9" s="38" t="str">
        <x:v>Full-time</x:v>
      </x:c>
      <x:c r="F9" s="38" t="str">
        <x:v>Pooraka Head Office</x:v>
      </x:c>
      <x:c r="G9" s="38" t="str">
        <x:v>UE002</x:v>
      </x:c>
      <x:c r="H9" s="39" t="n">
        <x:v>44410</x:v>
      </x:c>
      <x:c r="I9" s="38" t="str">
        <x:v>Active</x:v>
      </x:c>
      <x:c r="J9" s="38" t="str">
        <x:v>Business Premium</x:v>
      </x:c>
      <x:c r="K9" s="38" t="str">
        <x:v>Enabled</x:v>
      </x:c>
      <x:c r="L9" s="38" t="str">
        <x:v>Enabled</x:v>
      </x:c>
      <x:c r="M9" s="38" t="str">
        <x:v>Sales team leadership</x:v>
      </x:c>
      <x:c r="N9" s="38" t="str">
        <x:f>LOWER(SUBSTITUTE(B9," ","."))&amp;"@urbanedge-demo.local"</x:f>
        <x:v>demo.employee.08@urbanedge-demo.local</x:v>
      </x:c>
    </x:row>
    <x:row r="10">
      <x:c r="A10" s="38" t="str">
        <x:v>UE009</x:v>
      </x:c>
      <x:c r="B10" s="38" t="str">
        <x:v>Demo Employee 09</x:v>
      </x:c>
      <x:c r="C10" s="38" t="str">
        <x:v>New Home Consultant</x:v>
      </x:c>
      <x:c r="D10" s="38" t="str">
        <x:v>Sales</x:v>
      </x:c>
      <x:c r="E10" s="38" t="str">
        <x:v>Full-time</x:v>
      </x:c>
      <x:c r="F10" s="38" t="str">
        <x:v>Pooraka Head Office</x:v>
      </x:c>
      <x:c r="G10" s="38" t="str">
        <x:v>UE008</x:v>
      </x:c>
      <x:c r="H10" s="39" t="n">
        <x:v>44753</x:v>
      </x:c>
      <x:c r="I10" s="38" t="str">
        <x:v>Active</x:v>
      </x:c>
      <x:c r="J10" s="38" t="str">
        <x:v>Business Standard</x:v>
      </x:c>
      <x:c r="K10" s="38" t="str">
        <x:v>Enabled</x:v>
      </x:c>
      <x:c r="L10" s="38" t="str">
        <x:v>Enabled</x:v>
      </x:c>
      <x:c r="M10" s="38" t="str">
        <x:v>Customer consultations</x:v>
      </x:c>
      <x:c r="N10" s="38" t="str">
        <x:f>LOWER(SUBSTITUTE(B10," ","."))&amp;"@urbanedge-demo.local"</x:f>
        <x:v>demo.employee.09@urbanedge-demo.local</x:v>
      </x:c>
    </x:row>
    <x:row r="11">
      <x:c r="A11" s="38" t="str">
        <x:v>UE010</x:v>
      </x:c>
      <x:c r="B11" s="38" t="str">
        <x:v>Demo Employee 10</x:v>
      </x:c>
      <x:c r="C11" s="38" t="str">
        <x:v>New Home Consultant</x:v>
      </x:c>
      <x:c r="D11" s="38" t="str">
        <x:v>Sales</x:v>
      </x:c>
      <x:c r="E11" s="38" t="str">
        <x:v>Full-time</x:v>
      </x:c>
      <x:c r="F11" s="38" t="str">
        <x:v>Pooraka Head Office</x:v>
      </x:c>
      <x:c r="G11" s="38" t="str">
        <x:v>UE008</x:v>
      </x:c>
      <x:c r="H11" s="39" t="n">
        <x:v>45173</x:v>
      </x:c>
      <x:c r="I11" s="38" t="str">
        <x:v>Active</x:v>
      </x:c>
      <x:c r="J11" s="38" t="str">
        <x:v>Business Standard</x:v>
      </x:c>
      <x:c r="K11" s="38" t="str">
        <x:v>Enabled</x:v>
      </x:c>
      <x:c r="L11" s="38" t="str">
        <x:v>Enabled</x:v>
      </x:c>
      <x:c r="M11" s="38" t="str">
        <x:v>Customer consultations</x:v>
      </x:c>
      <x:c r="N11" s="38" t="str">
        <x:f>LOWER(SUBSTITUTE(B11," ","."))&amp;"@urbanedge-demo.local"</x:f>
        <x:v>demo.employee.10@urbanedge-demo.local</x:v>
      </x:c>
    </x:row>
    <x:row r="12">
      <x:c r="A12" s="38" t="str">
        <x:v>UE011</x:v>
      </x:c>
      <x:c r="B12" s="38" t="str">
        <x:v>Demo Employee 11</x:v>
      </x:c>
      <x:c r="C12" s="38" t="str">
        <x:v>Property Development Consultant</x:v>
      </x:c>
      <x:c r="D12" s="38" t="str">
        <x:v>Sales</x:v>
      </x:c>
      <x:c r="E12" s="38" t="str">
        <x:v>Full-time</x:v>
      </x:c>
      <x:c r="F12" s="38" t="str">
        <x:v>Pooraka Head Office</x:v>
      </x:c>
      <x:c r="G12" s="38" t="str">
        <x:v>UE008</x:v>
      </x:c>
      <x:c r="H12" s="39" t="n">
        <x:v>45327</x:v>
      </x:c>
      <x:c r="I12" s="38" t="str">
        <x:v>Active</x:v>
      </x:c>
      <x:c r="J12" s="38" t="str">
        <x:v>Business Standard</x:v>
      </x:c>
      <x:c r="K12" s="38" t="str">
        <x:v>Enabled</x:v>
      </x:c>
      <x:c r="L12" s="38" t="str">
        <x:v>Enabled</x:v>
      </x:c>
      <x:c r="M12" s="38" t="str">
        <x:v>Development enquiries</x:v>
      </x:c>
      <x:c r="N12" s="38" t="str">
        <x:f>LOWER(SUBSTITUTE(B12," ","."))&amp;"@urbanedge-demo.local"</x:f>
        <x:v>demo.employee.11@urbanedge-demo.local</x:v>
      </x:c>
    </x:row>
    <x:row r="13">
      <x:c r="A13" s="38" t="str">
        <x:v>UE012</x:v>
      </x:c>
      <x:c r="B13" s="38" t="str">
        <x:v>Demo Employee 12</x:v>
      </x:c>
      <x:c r="C13" s="38" t="str">
        <x:v>Sales Support Coordinator</x:v>
      </x:c>
      <x:c r="D13" s="38" t="str">
        <x:v>Sales</x:v>
      </x:c>
      <x:c r="E13" s="38" t="str">
        <x:v>Part-time</x:v>
      </x:c>
      <x:c r="F13" s="38" t="str">
        <x:v>Pooraka Head Office</x:v>
      </x:c>
      <x:c r="G13" s="38" t="str">
        <x:v>UE008</x:v>
      </x:c>
      <x:c r="H13" s="39" t="n">
        <x:v>45845</x:v>
      </x:c>
      <x:c r="I13" s="38" t="str">
        <x:v>Active</x:v>
      </x:c>
      <x:c r="J13" s="38" t="str">
        <x:v>Business Basic</x:v>
      </x:c>
      <x:c r="K13" s="38" t="str">
        <x:v>Enabled</x:v>
      </x:c>
      <x:c r="L13" s="38" t="str">
        <x:v>Enabled</x:v>
      </x:c>
      <x:c r="M13" s="38" t="str">
        <x:v>Sales administration</x:v>
      </x:c>
      <x:c r="N13" s="38" t="str">
        <x:f>LOWER(SUBSTITUTE(B13," ","."))&amp;"@urbanedge-demo.local"</x:f>
        <x:v>demo.employee.12@urbanedge-demo.local</x:v>
      </x:c>
    </x:row>
    <x:row r="14">
      <x:c r="A14" s="38" t="str">
        <x:v>UE013</x:v>
      </x:c>
      <x:c r="B14" s="38" t="str">
        <x:v>Demo Employee 13</x:v>
      </x:c>
      <x:c r="C14" s="38" t="str">
        <x:v>Finance Manager</x:v>
      </x:c>
      <x:c r="D14" s="38" t="str">
        <x:v>Finance</x:v>
      </x:c>
      <x:c r="E14" s="38" t="str">
        <x:v>Full-time</x:v>
      </x:c>
      <x:c r="F14" s="38" t="str">
        <x:v>Pooraka Head Office</x:v>
      </x:c>
      <x:c r="G14" s="38" t="str">
        <x:v>UE002</x:v>
      </x:c>
      <x:c r="H14" s="39" t="n">
        <x:v>44144</x:v>
      </x:c>
      <x:c r="I14" s="38" t="str">
        <x:v>Active</x:v>
      </x:c>
      <x:c r="J14" s="38" t="str">
        <x:v>Business Premium</x:v>
      </x:c>
      <x:c r="K14" s="38" t="str">
        <x:v>Enabled</x:v>
      </x:c>
      <x:c r="L14" s="38" t="str">
        <x:v>Enabled</x:v>
      </x:c>
      <x:c r="M14" s="38" t="str">
        <x:v>Finance oversight</x:v>
      </x:c>
      <x:c r="N14" s="38" t="str">
        <x:f>LOWER(SUBSTITUTE(B14," ","."))&amp;"@urbanedge-demo.local"</x:f>
        <x:v>demo.employee.13@urbanedge-demo.local</x:v>
      </x:c>
    </x:row>
    <x:row r="15">
      <x:c r="A15" s="38" t="str">
        <x:v>UE014</x:v>
      </x:c>
      <x:c r="B15" s="38" t="str">
        <x:v>Demo Employee 14</x:v>
      </x:c>
      <x:c r="C15" s="38" t="str">
        <x:v>Accounts Officer</x:v>
      </x:c>
      <x:c r="D15" s="38" t="str">
        <x:v>Finance</x:v>
      </x:c>
      <x:c r="E15" s="38" t="str">
        <x:v>Full-time</x:v>
      </x:c>
      <x:c r="F15" s="38" t="str">
        <x:v>Pooraka Head Office</x:v>
      </x:c>
      <x:c r="G15" s="38" t="str">
        <x:v>UE013</x:v>
      </x:c>
      <x:c r="H15" s="39" t="n">
        <x:v>44704</x:v>
      </x:c>
      <x:c r="I15" s="38" t="str">
        <x:v>Active</x:v>
      </x:c>
      <x:c r="J15" s="38" t="str">
        <x:v>Business Standard</x:v>
      </x:c>
      <x:c r="K15" s="38" t="str">
        <x:v>Enabled</x:v>
      </x:c>
      <x:c r="L15" s="38" t="str">
        <x:v>Enabled</x:v>
      </x:c>
      <x:c r="M15" s="38" t="str">
        <x:v>Accounts payable / receivable</x:v>
      </x:c>
      <x:c r="N15" s="38" t="str">
        <x:f>LOWER(SUBSTITUTE(B15," ","."))&amp;"@urbanedge-demo.local"</x:f>
        <x:v>demo.employee.14@urbanedge-demo.local</x:v>
      </x:c>
    </x:row>
    <x:row r="16">
      <x:c r="A16" s="38" t="str">
        <x:v>UE015</x:v>
      </x:c>
      <x:c r="B16" s="38" t="str">
        <x:v>Demo Employee 15</x:v>
      </x:c>
      <x:c r="C16" s="38" t="str">
        <x:v>Finance Administrator</x:v>
      </x:c>
      <x:c r="D16" s="38" t="str">
        <x:v>Finance</x:v>
      </x:c>
      <x:c r="E16" s="38" t="str">
        <x:v>Part-time</x:v>
      </x:c>
      <x:c r="F16" s="38" t="str">
        <x:v>Pooraka Head Office</x:v>
      </x:c>
      <x:c r="G16" s="38" t="str">
        <x:v>UE013</x:v>
      </x:c>
      <x:c r="H16" s="39" t="n">
        <x:v>45579</x:v>
      </x:c>
      <x:c r="I16" s="38" t="str">
        <x:v>Active</x:v>
      </x:c>
      <x:c r="J16" s="38" t="str">
        <x:v>Business Basic</x:v>
      </x:c>
      <x:c r="K16" s="38" t="str">
        <x:v>Enabled</x:v>
      </x:c>
      <x:c r="L16" s="38" t="str">
        <x:v>Enabled</x:v>
      </x:c>
      <x:c r="M16" s="38" t="str">
        <x:v>Finance administration</x:v>
      </x:c>
      <x:c r="N16" s="38" t="str">
        <x:f>LOWER(SUBSTITUTE(B16," ","."))&amp;"@urbanedge-demo.local"</x:f>
        <x:v>demo.employee.15@urbanedge-demo.local</x:v>
      </x:c>
    </x:row>
    <x:row r="17">
      <x:c r="A17" s="38" t="str">
        <x:v>UE016</x:v>
      </x:c>
      <x:c r="B17" s="38" t="str">
        <x:v>Demo Employee 16</x:v>
      </x:c>
      <x:c r="C17" s="38" t="str">
        <x:v>Estimating Manager</x:v>
      </x:c>
      <x:c r="D17" s="38" t="str">
        <x:v>Estimating &amp; Planning</x:v>
      </x:c>
      <x:c r="E17" s="38" t="str">
        <x:v>Full-time</x:v>
      </x:c>
      <x:c r="F17" s="38" t="str">
        <x:v>Pooraka Head Office</x:v>
      </x:c>
      <x:c r="G17" s="38" t="str">
        <x:v>UE002</x:v>
      </x:c>
      <x:c r="H17" s="39" t="n">
        <x:v>44214</x:v>
      </x:c>
      <x:c r="I17" s="38" t="str">
        <x:v>Active</x:v>
      </x:c>
      <x:c r="J17" s="38" t="str">
        <x:v>Business Premium</x:v>
      </x:c>
      <x:c r="K17" s="38" t="str">
        <x:v>Enabled</x:v>
      </x:c>
      <x:c r="L17" s="38" t="str">
        <x:v>Enabled</x:v>
      </x:c>
      <x:c r="M17" s="38" t="str">
        <x:v>Estimating oversight</x:v>
      </x:c>
      <x:c r="N17" s="38" t="str">
        <x:f>LOWER(SUBSTITUTE(B17," ","."))&amp;"@urbanedge-demo.local"</x:f>
        <x:v>demo.employee.16@urbanedge-demo.local</x:v>
      </x:c>
    </x:row>
    <x:row r="18">
      <x:c r="A18" s="38" t="str">
        <x:v>UE017</x:v>
      </x:c>
      <x:c r="B18" s="38" t="str">
        <x:v>Demo Employee 17</x:v>
      </x:c>
      <x:c r="C18" s="38" t="str">
        <x:v>Estimator</x:v>
      </x:c>
      <x:c r="D18" s="38" t="str">
        <x:v>Estimating &amp; Planning</x:v>
      </x:c>
      <x:c r="E18" s="38" t="str">
        <x:v>Full-time</x:v>
      </x:c>
      <x:c r="F18" s="38" t="str">
        <x:v>Pooraka Head Office</x:v>
      </x:c>
      <x:c r="G18" s="38" t="str">
        <x:v>UE016</x:v>
      </x:c>
      <x:c r="H18" s="39" t="n">
        <x:v>44802</x:v>
      </x:c>
      <x:c r="I18" s="38" t="str">
        <x:v>Active</x:v>
      </x:c>
      <x:c r="J18" s="38" t="str">
        <x:v>Business Standard</x:v>
      </x:c>
      <x:c r="K18" s="38" t="str">
        <x:v>Enabled</x:v>
      </x:c>
      <x:c r="L18" s="38" t="str">
        <x:v>Enabled</x:v>
      </x:c>
      <x:c r="M18" s="38" t="str">
        <x:v>Cost estimating</x:v>
      </x:c>
      <x:c r="N18" s="38" t="str">
        <x:f>LOWER(SUBSTITUTE(B18," ","."))&amp;"@urbanedge-demo.local"</x:f>
        <x:v>demo.employee.17@urbanedge-demo.local</x:v>
      </x:c>
    </x:row>
    <x:row r="19">
      <x:c r="A19" s="38" t="str">
        <x:v>UE018</x:v>
      </x:c>
      <x:c r="B19" s="38" t="str">
        <x:v>Demo Employee 18</x:v>
      </x:c>
      <x:c r="C19" s="38" t="str">
        <x:v>Estimator</x:v>
      </x:c>
      <x:c r="D19" s="38" t="str">
        <x:v>Estimating &amp; Planning</x:v>
      </x:c>
      <x:c r="E19" s="38" t="str">
        <x:v>Full-time</x:v>
      </x:c>
      <x:c r="F19" s="38" t="str">
        <x:v>Pooraka Head Office</x:v>
      </x:c>
      <x:c r="G19" s="38" t="str">
        <x:v>UE016</x:v>
      </x:c>
      <x:c r="H19" s="39" t="n">
        <x:v>45313</x:v>
      </x:c>
      <x:c r="I19" s="38" t="str">
        <x:v>Active</x:v>
      </x:c>
      <x:c r="J19" s="38" t="str">
        <x:v>Business Standard</x:v>
      </x:c>
      <x:c r="K19" s="38" t="str">
        <x:v>Enabled</x:v>
      </x:c>
      <x:c r="L19" s="38" t="str">
        <x:v>Enabled</x:v>
      </x:c>
      <x:c r="M19" s="38" t="str">
        <x:v>Cost estimating</x:v>
      </x:c>
      <x:c r="N19" s="38" t="str">
        <x:f>LOWER(SUBSTITUTE(B19," ","."))&amp;"@urbanedge-demo.local"</x:f>
        <x:v>demo.employee.18@urbanedge-demo.local</x:v>
      </x:c>
    </x:row>
    <x:row r="20">
      <x:c r="A20" s="38" t="str">
        <x:v>UE019</x:v>
      </x:c>
      <x:c r="B20" s="38" t="str">
        <x:v>Demo Employee 19</x:v>
      </x:c>
      <x:c r="C20" s="38" t="str">
        <x:v>Planning Coordinator</x:v>
      </x:c>
      <x:c r="D20" s="38" t="str">
        <x:v>Estimating &amp; Planning</x:v>
      </x:c>
      <x:c r="E20" s="38" t="str">
        <x:v>Full-time</x:v>
      </x:c>
      <x:c r="F20" s="38" t="str">
        <x:v>Pooraka Head Office</x:v>
      </x:c>
      <x:c r="G20" s="38" t="str">
        <x:v>UE016</x:v>
      </x:c>
      <x:c r="H20" s="39" t="n">
        <x:v>45726</x:v>
      </x:c>
      <x:c r="I20" s="38" t="str">
        <x:v>Active</x:v>
      </x:c>
      <x:c r="J20" s="38" t="str">
        <x:v>Business Standard</x:v>
      </x:c>
      <x:c r="K20" s="38" t="str">
        <x:v>Enabled</x:v>
      </x:c>
      <x:c r="L20" s="38" t="str">
        <x:v>Enabled</x:v>
      </x:c>
      <x:c r="M20" s="38" t="str">
        <x:v>Planning and approvals</x:v>
      </x:c>
      <x:c r="N20" s="38" t="str">
        <x:f>LOWER(SUBSTITUTE(B20," ","."))&amp;"@urbanedge-demo.local"</x:f>
        <x:v>demo.employee.19@urbanedge-demo.local</x:v>
      </x:c>
    </x:row>
    <x:row r="21">
      <x:c r="A21" s="38" t="str">
        <x:v>UE020</x:v>
      </x:c>
      <x:c r="B21" s="38" t="str">
        <x:v>Demo Employee 20</x:v>
      </x:c>
      <x:c r="C21" s="38" t="str">
        <x:v>Construction Manager</x:v>
      </x:c>
      <x:c r="D21" s="38" t="str">
        <x:v>Construction &amp; Project Management</x:v>
      </x:c>
      <x:c r="E21" s="38" t="str">
        <x:v>Full-time</x:v>
      </x:c>
      <x:c r="F21" s="38" t="str">
        <x:v>Pooraka Head Office</x:v>
      </x:c>
      <x:c r="G21" s="38" t="str">
        <x:v>UE002</x:v>
      </x:c>
      <x:c r="H21" s="39" t="n">
        <x:v>43997</x:v>
      </x:c>
      <x:c r="I21" s="38" t="str">
        <x:v>Active</x:v>
      </x:c>
      <x:c r="J21" s="38" t="str">
        <x:v>Business Premium</x:v>
      </x:c>
      <x:c r="K21" s="38" t="str">
        <x:v>Enabled</x:v>
      </x:c>
      <x:c r="L21" s="38" t="str">
        <x:v>Enabled</x:v>
      </x:c>
      <x:c r="M21" s="38" t="str">
        <x:v>Construction oversight</x:v>
      </x:c>
      <x:c r="N21" s="38" t="str">
        <x:f>LOWER(SUBSTITUTE(B21," ","."))&amp;"@urbanedge-demo.local"</x:f>
        <x:v>demo.employee.20@urbanedge-demo.local</x:v>
      </x:c>
    </x:row>
    <x:row r="22">
      <x:c r="A22" s="38" t="str">
        <x:v>UE021</x:v>
      </x:c>
      <x:c r="B22" s="38" t="str">
        <x:v>Demo Employee 21</x:v>
      </x:c>
      <x:c r="C22" s="38" t="str">
        <x:v>Project Manager</x:v>
      </x:c>
      <x:c r="D22" s="38" t="str">
        <x:v>Construction &amp; Project Management</x:v>
      </x:c>
      <x:c r="E22" s="38" t="str">
        <x:v>Full-time</x:v>
      </x:c>
      <x:c r="F22" s="38" t="str">
        <x:v>Prospect Project</x:v>
      </x:c>
      <x:c r="G22" s="38" t="str">
        <x:v>UE020</x:v>
      </x:c>
      <x:c r="H22" s="39" t="n">
        <x:v>44473</x:v>
      </x:c>
      <x:c r="I22" s="38" t="str">
        <x:v>Active</x:v>
      </x:c>
      <x:c r="J22" s="38" t="str">
        <x:v>Business Standard</x:v>
      </x:c>
      <x:c r="K22" s="38" t="str">
        <x:v>Enabled</x:v>
      </x:c>
      <x:c r="L22" s="38" t="str">
        <x:v>Enabled</x:v>
      </x:c>
      <x:c r="M22" s="38" t="str">
        <x:v>Prospect project</x:v>
      </x:c>
      <x:c r="N22" s="38" t="str">
        <x:f>LOWER(SUBSTITUTE(B22," ","."))&amp;"@urbanedge-demo.local"</x:f>
        <x:v>demo.employee.21@urbanedge-demo.local</x:v>
      </x:c>
    </x:row>
    <x:row r="23">
      <x:c r="A23" s="38" t="str">
        <x:v>UE022</x:v>
      </x:c>
      <x:c r="B23" s="38" t="str">
        <x:v>Demo Employee 22</x:v>
      </x:c>
      <x:c r="C23" s="38" t="str">
        <x:v>Project Manager</x:v>
      </x:c>
      <x:c r="D23" s="38" t="str">
        <x:v>Construction &amp; Project Management</x:v>
      </x:c>
      <x:c r="E23" s="38" t="str">
        <x:v>Full-time</x:v>
      </x:c>
      <x:c r="F23" s="38" t="str">
        <x:v>Para Hills Project</x:v>
      </x:c>
      <x:c r="G23" s="38" t="str">
        <x:v>UE020</x:v>
      </x:c>
      <x:c r="H23" s="39" t="n">
        <x:v>44879</x:v>
      </x:c>
      <x:c r="I23" s="38" t="str">
        <x:v>Active</x:v>
      </x:c>
      <x:c r="J23" s="38" t="str">
        <x:v>Business Standard</x:v>
      </x:c>
      <x:c r="K23" s="38" t="str">
        <x:v>Enabled</x:v>
      </x:c>
      <x:c r="L23" s="38" t="str">
        <x:v>Enabled</x:v>
      </x:c>
      <x:c r="M23" s="38" t="str">
        <x:v>Para Hills project</x:v>
      </x:c>
      <x:c r="N23" s="38" t="str">
        <x:f>LOWER(SUBSTITUTE(B23," ","."))&amp;"@urbanedge-demo.local"</x:f>
        <x:v>demo.employee.22@urbanedge-demo.local</x:v>
      </x:c>
    </x:row>
    <x:row r="24">
      <x:c r="A24" s="38" t="str">
        <x:v>UE023</x:v>
      </x:c>
      <x:c r="B24" s="38" t="str">
        <x:v>Demo Employee 23</x:v>
      </x:c>
      <x:c r="C24" s="38" t="str">
        <x:v>Site Supervisor</x:v>
      </x:c>
      <x:c r="D24" s="38" t="str">
        <x:v>Construction &amp; Project Management</x:v>
      </x:c>
      <x:c r="E24" s="38" t="str">
        <x:v>Full-time</x:v>
      </x:c>
      <x:c r="F24" s="38" t="str">
        <x:v>Prospect Project</x:v>
      </x:c>
      <x:c r="G24" s="38" t="str">
        <x:v>UE021</x:v>
      </x:c>
      <x:c r="H24" s="39" t="n">
        <x:v>45019</x:v>
      </x:c>
      <x:c r="I24" s="38" t="str">
        <x:v>Active</x:v>
      </x:c>
      <x:c r="J24" s="38" t="str">
        <x:v>Business Standard</x:v>
      </x:c>
      <x:c r="K24" s="38" t="str">
        <x:v>Enabled</x:v>
      </x:c>
      <x:c r="L24" s="38" t="str">
        <x:v>Enabled</x:v>
      </x:c>
      <x:c r="M24" s="38" t="str">
        <x:v>Site supervision</x:v>
      </x:c>
      <x:c r="N24" s="38" t="str">
        <x:f>LOWER(SUBSTITUTE(B24," ","."))&amp;"@urbanedge-demo.local"</x:f>
        <x:v>demo.employee.23@urbanedge-demo.local</x:v>
      </x:c>
    </x:row>
    <x:row r="25">
      <x:c r="A25" s="38" t="str">
        <x:v>UE024</x:v>
      </x:c>
      <x:c r="B25" s="38" t="str">
        <x:v>Demo Employee 24</x:v>
      </x:c>
      <x:c r="C25" s="38" t="str">
        <x:v>Site Supervisor</x:v>
      </x:c>
      <x:c r="D25" s="38" t="str">
        <x:v>Construction &amp; Project Management</x:v>
      </x:c>
      <x:c r="E25" s="38" t="str">
        <x:v>Full-time</x:v>
      </x:c>
      <x:c r="F25" s="38" t="str">
        <x:v>Para Hills Project</x:v>
      </x:c>
      <x:c r="G25" s="38" t="str">
        <x:v>UE022</x:v>
      </x:c>
      <x:c r="H25" s="39" t="n">
        <x:v>45215</x:v>
      </x:c>
      <x:c r="I25" s="38" t="str">
        <x:v>Active</x:v>
      </x:c>
      <x:c r="J25" s="38" t="str">
        <x:v>Business Standard</x:v>
      </x:c>
      <x:c r="K25" s="38" t="str">
        <x:v>Enabled</x:v>
      </x:c>
      <x:c r="L25" s="38" t="str">
        <x:v>Enabled</x:v>
      </x:c>
      <x:c r="M25" s="38" t="str">
        <x:v>Site supervision</x:v>
      </x:c>
      <x:c r="N25" s="38" t="str">
        <x:f>LOWER(SUBSTITUTE(B25," ","."))&amp;"@urbanedge-demo.local"</x:f>
        <x:v>demo.employee.24@urbanedge-demo.local</x:v>
      </x:c>
    </x:row>
    <x:row r="26">
      <x:c r="A26" s="38" t="str">
        <x:v>UE025</x:v>
      </x:c>
      <x:c r="B26" s="38" t="str">
        <x:v>Demo Employee 25</x:v>
      </x:c>
      <x:c r="C26" s="38" t="str">
        <x:v>Site Supervisor</x:v>
      </x:c>
      <x:c r="D26" s="38" t="str">
        <x:v>Construction &amp; Project Management</x:v>
      </x:c>
      <x:c r="E26" s="38" t="str">
        <x:v>Full-time</x:v>
      </x:c>
      <x:c r="F26" s="38" t="str">
        <x:v>Morphett Vale Project</x:v>
      </x:c>
      <x:c r="G26" s="38" t="str">
        <x:v>UE020</x:v>
      </x:c>
      <x:c r="H26" s="39" t="n">
        <x:v>45390</x:v>
      </x:c>
      <x:c r="I26" s="38" t="str">
        <x:v>Active</x:v>
      </x:c>
      <x:c r="J26" s="38" t="str">
        <x:v>Business Standard</x:v>
      </x:c>
      <x:c r="K26" s="38" t="str">
        <x:v>Enabled</x:v>
      </x:c>
      <x:c r="L26" s="38" t="str">
        <x:v>Enabled</x:v>
      </x:c>
      <x:c r="M26" s="38" t="str">
        <x:v>Site supervision</x:v>
      </x:c>
      <x:c r="N26" s="38" t="str">
        <x:f>LOWER(SUBSTITUTE(B26," ","."))&amp;"@urbanedge-demo.local"</x:f>
        <x:v>demo.employee.25@urbanedge-demo.local</x:v>
      </x:c>
    </x:row>
    <x:row r="27">
      <x:c r="A27" s="38" t="str">
        <x:v>UE026</x:v>
      </x:c>
      <x:c r="B27" s="38" t="str">
        <x:v>Demo Employee 26</x:v>
      </x:c>
      <x:c r="C27" s="38" t="str">
        <x:v>Project Coordinator</x:v>
      </x:c>
      <x:c r="D27" s="38" t="str">
        <x:v>Construction &amp; Project Management</x:v>
      </x:c>
      <x:c r="E27" s="38" t="str">
        <x:v>Full-time</x:v>
      </x:c>
      <x:c r="F27" s="38" t="str">
        <x:v>Remote / Mobile</x:v>
      </x:c>
      <x:c r="G27" s="38" t="str">
        <x:v>UE020</x:v>
      </x:c>
      <x:c r="H27" s="39" t="n">
        <x:v>45670</x:v>
      </x:c>
      <x:c r="I27" s="38" t="str">
        <x:v>Active</x:v>
      </x:c>
      <x:c r="J27" s="38" t="str">
        <x:v>Business Standard</x:v>
      </x:c>
      <x:c r="K27" s="38" t="str">
        <x:v>Pending</x:v>
      </x:c>
      <x:c r="L27" s="38" t="str">
        <x:v>Enabled</x:v>
      </x:c>
      <x:c r="M27" s="38" t="str">
        <x:v>Mobile project coordination</x:v>
      </x:c>
      <x:c r="N27" s="38" t="str">
        <x:f>LOWER(SUBSTITUTE(B27," ","."))&amp;"@urbanedge-demo.local"</x:f>
        <x:v>demo.employee.26@urbanedge-demo.local</x:v>
      </x:c>
    </x:row>
    <x:row r="28">
      <x:c r="A28" s="38" t="str">
        <x:v>UE027</x:v>
      </x:c>
      <x:c r="B28" s="38" t="str">
        <x:v>Demo Employee 27</x:v>
      </x:c>
      <x:c r="C28" s="38" t="str">
        <x:v>Marketing Coordinator</x:v>
      </x:c>
      <x:c r="D28" s="38" t="str">
        <x:v>Marketing</x:v>
      </x:c>
      <x:c r="E28" s="38" t="str">
        <x:v>Full-time</x:v>
      </x:c>
      <x:c r="F28" s="38" t="str">
        <x:v>Pooraka Head Office</x:v>
      </x:c>
      <x:c r="G28" s="38" t="str">
        <x:v>UE002</x:v>
      </x:c>
      <x:c r="H28" s="39" t="n">
        <x:v>45096</x:v>
      </x:c>
      <x:c r="I28" s="38" t="str">
        <x:v>Active</x:v>
      </x:c>
      <x:c r="J28" s="38" t="str">
        <x:v>Business Standard</x:v>
      </x:c>
      <x:c r="K28" s="38" t="str">
        <x:v>Enabled</x:v>
      </x:c>
      <x:c r="L28" s="38" t="str">
        <x:v>Enabled</x:v>
      </x:c>
      <x:c r="M28" s="38" t="str">
        <x:v>Marketing campaigns</x:v>
      </x:c>
      <x:c r="N28" s="38" t="str">
        <x:f>LOWER(SUBSTITUTE(B28," ","."))&amp;"@urbanedge-demo.local"</x:f>
        <x:v>demo.employee.27@urbanedge-demo.local</x:v>
      </x:c>
    </x:row>
    <x:row r="29">
      <x:c r="A29" s="38" t="str">
        <x:v>UE028</x:v>
      </x:c>
      <x:c r="B29" s="38" t="str">
        <x:v>Demo Employee 28</x:v>
      </x:c>
      <x:c r="C29" s="38" t="str">
        <x:v>Content &amp; Digital Assistant</x:v>
      </x:c>
      <x:c r="D29" s="38" t="str">
        <x:v>Marketing</x:v>
      </x:c>
      <x:c r="E29" s="38" t="str">
        <x:v>Part-time</x:v>
      </x:c>
      <x:c r="F29" s="38" t="str">
        <x:v>Pooraka Head Office</x:v>
      </x:c>
      <x:c r="G29" s="38" t="str">
        <x:v>UE027</x:v>
      </x:c>
      <x:c r="H29" s="39" t="n">
        <x:v>45782</x:v>
      </x:c>
      <x:c r="I29" s="38" t="str">
        <x:v>Active</x:v>
      </x:c>
      <x:c r="J29" s="38" t="str">
        <x:v>Business Basic</x:v>
      </x:c>
      <x:c r="K29" s="38" t="str">
        <x:v>Enabled</x:v>
      </x:c>
      <x:c r="L29" s="38" t="str">
        <x:v>Enabled</x:v>
      </x:c>
      <x:c r="M29" s="38" t="str">
        <x:v>Digital content support</x:v>
      </x:c>
      <x:c r="N29" s="38" t="str">
        <x:f>LOWER(SUBSTITUTE(B29," ","."))&amp;"@urbanedge-demo.local"</x:f>
        <x:v>demo.employee.28@urbanedge-demo.local</x:v>
      </x:c>
    </x:row>
    <x:row r="30">
      <x:c r="A30" s="38" t="str">
        <x:v>UE029</x:v>
      </x:c>
      <x:c r="B30" s="38" t="str">
        <x:v>Demo Employee 29</x:v>
      </x:c>
      <x:c r="C30" s="38" t="str">
        <x:v>IT Support Administrator</x:v>
      </x:c>
      <x:c r="D30" s="38" t="str">
        <x:v>IT &amp; Operations</x:v>
      </x:c>
      <x:c r="E30" s="38" t="str">
        <x:v>Full-time</x:v>
      </x:c>
      <x:c r="F30" s="38" t="str">
        <x:v>Pooraka Head Office</x:v>
      </x:c>
      <x:c r="G30" s="38" t="str">
        <x:v>UE003</x:v>
      </x:c>
      <x:c r="H30" s="39" t="n">
        <x:v>46258</x:v>
      </x:c>
      <x:c r="I30" s="38" t="str">
        <x:v>Onboarding</x:v>
      </x:c>
      <x:c r="J30" s="38" t="str">
        <x:v>Business Premium</x:v>
      </x:c>
      <x:c r="K30" s="38" t="str">
        <x:v>Enabled</x:v>
      </x:c>
      <x:c r="L30" s="38" t="str">
        <x:v>Pending</x:v>
      </x:c>
      <x:c r="M30" s="38" t="str">
        <x:v>Primary IT support role</x:v>
      </x:c>
      <x:c r="N30" s="38" t="str">
        <x:f>LOWER(SUBSTITUTE(B30," ","."))&amp;"@urbanedge-demo.local"</x:f>
        <x:v>demo.employee.29@urbanedge-demo.local</x:v>
      </x:c>
    </x:row>
    <x:row r="31">
      <x:c r="A31" s="38" t="str">
        <x:v>UE030</x:v>
      </x:c>
      <x:c r="B31" s="38" t="str">
        <x:v>Demo Employee 30</x:v>
      </x:c>
      <x:c r="C31" s="38" t="str">
        <x:v>Systems &amp; Operations Coordinator</x:v>
      </x:c>
      <x:c r="D31" s="38" t="str">
        <x:v>IT &amp; Operations</x:v>
      </x:c>
      <x:c r="E31" s="38" t="str">
        <x:v>Full-time</x:v>
      </x:c>
      <x:c r="F31" s="38" t="str">
        <x:v>Pooraka Head Office</x:v>
      </x:c>
      <x:c r="G31" s="38" t="str">
        <x:v>UE003</x:v>
      </x:c>
      <x:c r="H31" s="39" t="n">
        <x:v>45474</x:v>
      </x:c>
      <x:c r="I31" s="38" t="str">
        <x:v>Active</x:v>
      </x:c>
      <x:c r="J31" s="38" t="str">
        <x:v>Business Premium</x:v>
      </x:c>
      <x:c r="K31" s="38" t="str">
        <x:v>Enabled</x:v>
      </x:c>
      <x:c r="L31" s="38" t="str">
        <x:v>Enabled</x:v>
      </x:c>
      <x:c r="M31" s="38" t="str">
        <x:v>Systems administration and operations</x:v>
      </x:c>
      <x:c r="N31" s="38" t="str">
        <x:f>LOWER(SUBSTITUTE(B31," ","."))&amp;"@urbanedge-demo.local"</x:f>
        <x:v>demo.employee.30@urbanedge-demo.local</x:v>
      </x:c>
    </x:row>
  </x:sheetData>
  <x:conditionalFormatting sqref="I2:I31">
    <x:cfRule type="expression" dxfId="0" priority="1">
      <x:formula>I2="Onboarding"</x:formula>
    </x:cfRule>
  </x:conditionalFormatting>
  <x:conditionalFormatting sqref="K2:K31">
    <x:cfRule type="expression" dxfId="1" priority="2">
      <x:formula>K2="Pending"</x:formula>
    </x:cfRule>
  </x:conditionalFormatting>
  <x:conditionalFormatting sqref="L2:L31">
    <x:cfRule type="expression" dxfId="2" priority="3">
      <x:formula>L2="Pending"</x:formula>
    </x:cfRule>
  </x:conditionalFormatting>
  <x:dataValidations count="7">
    <x:dataValidation type="list" sqref="D2:D31">
      <x:formula1>Reference_Data!$A$2:$A$9</x:formula1>
    </x:dataValidation>
    <x:dataValidation type="list" sqref="E2:E31">
      <x:formula1>Reference_Data!$F$2:$F$5</x:formula1>
    </x:dataValidation>
    <x:dataValidation type="list" sqref="F2:F31">
      <x:formula1>Reference_Data!$D$2:$D$6</x:formula1>
    </x:dataValidation>
    <x:dataValidation type="list" sqref="I2:I31">
      <x:formula1>Reference_Data!$H$2:$H$6</x:formula1>
    </x:dataValidation>
    <x:dataValidation type="list" sqref="J2:J31">
      <x:formula1>Reference_Data!$J$2:$J$5</x:formula1>
    </x:dataValidation>
    <x:dataValidation type="list" sqref="K2:K31">
      <x:formula1>Reference_Data!$N$2:$N$4</x:formula1>
    </x:dataValidation>
    <x:dataValidation type="list" sqref="L2:L31">
      <x:formula1>Reference_Data!$L$2:$L$4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6176f5f44c46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4" max="4" width="24" hidden="0" customWidth="1"/>
    <x:col min="6" max="6" width="24" hidden="0" customWidth="1"/>
    <x:col min="8" max="8" width="24" hidden="0" customWidth="1"/>
    <x:col min="10" max="10" width="24" hidden="0" customWidth="1"/>
    <x:col min="12" max="12" width="24" hidden="0" customWidth="1"/>
    <x:col min="14" max="14" width="24" hidden="0" customWidth="1"/>
    <x:col min="2" max="2" width="18" hidden="0" customWidth="1"/>
  </x:cols>
  <x:sheetData>
    <x:row r="1">
      <x:c r="A1" s="20" t="str">
        <x:v>Department</x:v>
      </x:c>
      <x:c r="B1" s="20" t="str">
        <x:v>Department_Code</x:v>
      </x:c>
      <x:c r="C1" s="20"/>
      <x:c r="D1" s="20" t="str">
        <x:v>Work_Location</x:v>
      </x:c>
      <x:c r="E1" s="20"/>
      <x:c r="F1" s="20" t="str">
        <x:v>Employment_Type</x:v>
      </x:c>
      <x:c r="G1" s="20"/>
      <x:c r="H1" s="20" t="str">
        <x:v>Employment_Status</x:v>
      </x:c>
      <x:c r="I1" s="20"/>
      <x:c r="J1" s="20" t="str">
        <x:v>M365_License</x:v>
      </x:c>
      <x:c r="K1" s="20"/>
      <x:c r="L1" s="20" t="str">
        <x:v>User_Account_Status</x:v>
      </x:c>
      <x:c r="M1" s="20"/>
      <x:c r="N1" s="20" t="str">
        <x:v>MFA_Status</x:v>
      </x:c>
    </x:row>
    <x:row r="2">
      <x:c r="A2" t="str">
        <x:v>Management</x:v>
      </x:c>
      <x:c r="B2" t="str">
        <x:v>MGT</x:v>
      </x:c>
      <x:c r="D2" t="str">
        <x:v>Pooraka Head Office</x:v>
      </x:c>
      <x:c r="F2" t="str">
        <x:v>Full-time</x:v>
      </x:c>
      <x:c r="H2" t="str">
        <x:v>Active</x:v>
      </x:c>
      <x:c r="J2" t="str">
        <x:v>Business Basic</x:v>
      </x:c>
      <x:c r="L2" t="str">
        <x:v>Enabled</x:v>
      </x:c>
      <x:c r="N2" t="str">
        <x:v>Enabled</x:v>
      </x:c>
    </x:row>
    <x:row r="3">
      <x:c r="A3" t="str">
        <x:v>Administration</x:v>
      </x:c>
      <x:c r="B3" t="str">
        <x:v>ADM</x:v>
      </x:c>
      <x:c r="D3" t="str">
        <x:v>Prospect Project</x:v>
      </x:c>
      <x:c r="F3" t="str">
        <x:v>Part-time</x:v>
      </x:c>
      <x:c r="H3" t="str">
        <x:v>Onboarding</x:v>
      </x:c>
      <x:c r="J3" t="str">
        <x:v>Business Standard</x:v>
      </x:c>
      <x:c r="L3" t="str">
        <x:v>Pending</x:v>
      </x:c>
      <x:c r="N3" t="str">
        <x:v>Pending</x:v>
      </x:c>
    </x:row>
    <x:row r="4">
      <x:c r="A4" t="str">
        <x:v>Sales</x:v>
      </x:c>
      <x:c r="B4" t="str">
        <x:v>SAL</x:v>
      </x:c>
      <x:c r="D4" t="str">
        <x:v>Para Hills Project</x:v>
      </x:c>
      <x:c r="F4" t="str">
        <x:v>Casual</x:v>
      </x:c>
      <x:c r="H4" t="str">
        <x:v>Leave</x:v>
      </x:c>
      <x:c r="J4" t="str">
        <x:v>Business Premium</x:v>
      </x:c>
      <x:c r="L4" t="str">
        <x:v>Disabled</x:v>
      </x:c>
      <x:c r="N4" t="str">
        <x:v>Not Required</x:v>
      </x:c>
    </x:row>
    <x:row r="5">
      <x:c r="A5" t="str">
        <x:v>Finance</x:v>
      </x:c>
      <x:c r="B5" t="str">
        <x:v>FIN</x:v>
      </x:c>
      <x:c r="D5" t="str">
        <x:v>Morphett Vale Project</x:v>
      </x:c>
      <x:c r="F5" t="str">
        <x:v>Contract</x:v>
      </x:c>
      <x:c r="H5" t="str">
        <x:v>Offboarding</x:v>
      </x:c>
      <x:c r="J5" t="str">
        <x:v>Not Required</x:v>
      </x:c>
    </x:row>
    <x:row r="6">
      <x:c r="A6" t="str">
        <x:v>Estimating &amp; Planning</x:v>
      </x:c>
      <x:c r="B6" t="str">
        <x:v>EST</x:v>
      </x:c>
      <x:c r="D6" t="str">
        <x:v>Remote / Mobile</x:v>
      </x:c>
      <x:c r="H6" t="str">
        <x:v>Inactive</x:v>
      </x:c>
    </x:row>
    <x:row r="7">
      <x:c r="A7" t="str">
        <x:v>Construction &amp; Project Management</x:v>
      </x:c>
      <x:c r="B7" t="str">
        <x:v>CON</x:v>
      </x:c>
    </x:row>
    <x:row r="8">
      <x:c r="A8" t="str">
        <x:v>Marketing</x:v>
      </x:c>
      <x:c r="B8" t="str">
        <x:v>MKT</x:v>
      </x:c>
    </x:row>
    <x:row r="9">
      <x:c r="A9" t="str">
        <x:v>IT &amp; Operations</x:v>
      </x:c>
      <x:c r="B9" t="str">
        <x:v>ITO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" hidden="0" customWidth="1"/>
    <x:col min="4" max="4" width="12" hidden="0" customWidth="1"/>
    <x:col min="5" max="5" width="38" hidden="0" customWidth="1"/>
    <x:col min="6" max="6" width="20" hidden="0" customWidth="1"/>
    <x:col min="7" max="7" width="28" hidden="0" customWidth="1"/>
    <x:col min="8" max="8" width="34" hidden="0" customWidth="1"/>
    <x:col min="10" max="10" width="16" hidden="0" customWidth="1"/>
    <x:col min="11" max="11" width="24" hidden="0" customWidth="1"/>
    <x:col min="12" max="12" width="20" hidden="0" customWidth="1"/>
    <x:col min="13" max="13" width="14" hidden="0" customWidth="1"/>
    <x:col min="14" max="14" width="14" hidden="0" customWidth="1"/>
    <x:col min="15" max="15" width="18" hidden="0" customWidth="1"/>
  </x:cols>
  <x:sheetData>
    <x:row r="1">
      <x:c r="A1" s="53" t="str">
        <x:v>IT Helpdesk Configuration — Mock Demonstration</x:v>
      </x:c>
      <x:c r="B1" s="53"/>
      <x:c r="C1" s="53"/>
      <x:c r="D1" s="53"/>
      <x:c r="E1" s="53"/>
      <x:c r="F1" s="53"/>
      <x:c r="G1" s="53"/>
      <x:c r="H1" s="53"/>
      <x:c r="I1" s="32"/>
      <x:c r="J1" s="32"/>
      <x:c r="K1" s="32"/>
      <x:c r="L1" s="32"/>
      <x:c r="M1" s="32"/>
      <x:c r="N1" s="32"/>
      <x:c r="O1" s="32"/>
    </x:row>
    <x:row r="2">
      <x:c r="A2" s="32" t="str">
        <x:v>Priority is calculated from Impact × Urgency. SLA targets use calendar hours for this prototype.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</x:row>
    <x:row r="4">
      <x:c r="A4" s="54" t="str">
        <x:v>Impact \ Urgency</x:v>
      </x:c>
      <x:c r="B4" s="54" t="str">
        <x:v>High</x:v>
      </x:c>
      <x:c r="C4" s="54" t="str">
        <x:v>Medium</x:v>
      </x:c>
      <x:c r="D4" s="54" t="str">
        <x:v>Low</x:v>
      </x:c>
      <x:c r="E4" s="32"/>
      <x:c r="F4" s="54" t="str">
        <x:v>Priority</x:v>
      </x:c>
      <x:c r="G4" s="54" t="str">
        <x:v>Response Target (hrs)</x:v>
      </x:c>
      <x:c r="H4" s="54" t="str">
        <x:v>Resolution Target (hrs)</x:v>
      </x:c>
      <x:c r="I4" s="32"/>
      <x:c r="J4" s="54" t="str">
        <x:v>Channel</x:v>
      </x:c>
      <x:c r="K4" s="54" t="str">
        <x:v>Category</x:v>
      </x:c>
      <x:c r="L4" s="54" t="str">
        <x:v>Status</x:v>
      </x:c>
      <x:c r="M4" s="54" t="str">
        <x:v>Impact</x:v>
      </x:c>
      <x:c r="N4" s="54" t="str">
        <x:v>Urgency</x:v>
      </x:c>
      <x:c r="O4" s="54" t="str">
        <x:v>Assigned To</x:v>
      </x:c>
    </x:row>
    <x:row r="5">
      <x:c r="A5" s="32" t="str">
        <x:v>High</x:v>
      </x:c>
      <x:c r="B5" s="32" t="str">
        <x:v>P1</x:v>
      </x:c>
      <x:c r="C5" s="32" t="str">
        <x:v>P2</x:v>
      </x:c>
      <x:c r="D5" s="32" t="str">
        <x:v>P3</x:v>
      </x:c>
      <x:c r="E5" s="32"/>
      <x:c r="F5" s="32" t="str">
        <x:v>P1</x:v>
      </x:c>
      <x:c r="G5" s="32" t="n">
        <x:v>0.25</x:v>
      </x:c>
      <x:c r="H5" s="32" t="n">
        <x:v>4</x:v>
      </x:c>
      <x:c r="I5" s="32"/>
      <x:c r="J5" s="32" t="str">
        <x:v>Email</x:v>
      </x:c>
      <x:c r="K5" s="32" t="str">
        <x:v>Microsoft 365</x:v>
      </x:c>
      <x:c r="L5" s="32" t="str">
        <x:v>New</x:v>
      </x:c>
      <x:c r="M5" s="32" t="str">
        <x:v>High</x:v>
      </x:c>
      <x:c r="N5" s="32" t="str">
        <x:v>High</x:v>
      </x:c>
      <x:c r="O5" s="32" t="str">
        <x:v>UE030</x:v>
      </x:c>
    </x:row>
    <x:row r="6">
      <x:c r="A6" s="32" t="str">
        <x:v>Medium</x:v>
      </x:c>
      <x:c r="B6" s="32" t="str">
        <x:v>P2</x:v>
      </x:c>
      <x:c r="C6" s="32" t="str">
        <x:v>P3</x:v>
      </x:c>
      <x:c r="D6" s="32" t="str">
        <x:v>P4</x:v>
      </x:c>
      <x:c r="E6" s="32"/>
      <x:c r="F6" s="32" t="str">
        <x:v>P2</x:v>
      </x:c>
      <x:c r="G6" s="32" t="n">
        <x:v>1</x:v>
      </x:c>
      <x:c r="H6" s="32" t="n">
        <x:v>8</x:v>
      </x:c>
      <x:c r="I6" s="32"/>
      <x:c r="J6" s="32" t="str">
        <x:v>Phone</x:v>
      </x:c>
      <x:c r="K6" s="32" t="str">
        <x:v>Access &amp; Permissions</x:v>
      </x:c>
      <x:c r="L6" s="32" t="str">
        <x:v>Assigned</x:v>
      </x:c>
      <x:c r="M6" s="32" t="str">
        <x:v>Medium</x:v>
      </x:c>
      <x:c r="N6" s="32" t="str">
        <x:v>Medium</x:v>
      </x:c>
      <x:c r="O6" s="32" t="str">
        <x:v>UE029</x:v>
      </x:c>
    </x:row>
    <x:row r="7">
      <x:c r="A7" s="32" t="str">
        <x:v>Low</x:v>
      </x:c>
      <x:c r="B7" s="32" t="str">
        <x:v>P3</x:v>
      </x:c>
      <x:c r="C7" s="32" t="str">
        <x:v>P4</x:v>
      </x:c>
      <x:c r="D7" s="32" t="str">
        <x:v>P4</x:v>
      </x:c>
      <x:c r="E7" s="32"/>
      <x:c r="F7" s="32" t="str">
        <x:v>P3</x:v>
      </x:c>
      <x:c r="G7" s="32" t="n">
        <x:v>4</x:v>
      </x:c>
      <x:c r="H7" s="32" t="n">
        <x:v>24</x:v>
      </x:c>
      <x:c r="I7" s="32"/>
      <x:c r="J7" s="32" t="str">
        <x:v>Teams</x:v>
      </x:c>
      <x:c r="K7" s="32" t="str">
        <x:v>Hardware</x:v>
      </x:c>
      <x:c r="L7" s="32" t="str">
        <x:v>In Progress</x:v>
      </x:c>
      <x:c r="M7" s="32" t="str">
        <x:v>Low</x:v>
      </x:c>
      <x:c r="N7" s="32" t="str">
        <x:v>Low</x:v>
      </x:c>
      <x:c r="O7" s="32" t="str">
        <x:v>External Vendor</x:v>
      </x:c>
    </x:row>
    <x:row r="8">
      <x:c r="A8" s="32"/>
      <x:c r="B8" s="32"/>
      <x:c r="C8" s="32"/>
      <x:c r="D8" s="32"/>
      <x:c r="E8" s="32"/>
      <x:c r="F8" s="32" t="str">
        <x:v>P4</x:v>
      </x:c>
      <x:c r="G8" s="32" t="n">
        <x:v>8</x:v>
      </x:c>
      <x:c r="H8" s="32" t="n">
        <x:v>72</x:v>
      </x:c>
      <x:c r="I8" s="32"/>
      <x:c r="J8" s="32" t="str">
        <x:v>Walk-up</x:v>
      </x:c>
      <x:c r="K8" s="32" t="str">
        <x:v>Software</x:v>
      </x:c>
      <x:c r="L8" s="32" t="str">
        <x:v>Waiting on User</x:v>
      </x:c>
      <x:c r="M8" s="32"/>
      <x:c r="N8" s="32"/>
      <x:c r="O8" s="32"/>
    </x:row>
    <x:row r="9">
      <x:c r="A9" s="32"/>
      <x:c r="B9" s="32"/>
      <x:c r="C9" s="32"/>
      <x:c r="D9" s="32"/>
      <x:c r="E9" s="32"/>
      <x:c r="F9" s="32"/>
      <x:c r="G9" s="32"/>
      <x:c r="H9" s="32"/>
      <x:c r="I9" s="32"/>
      <x:c r="J9" s="32" t="str">
        <x:v>Form</x:v>
      </x:c>
      <x:c r="K9" s="32" t="str">
        <x:v>Printer &amp; Scanner</x:v>
      </x:c>
      <x:c r="L9" s="32" t="str">
        <x:v>Waiting on Vendor</x:v>
      </x:c>
      <x:c r="M9" s="32"/>
      <x:c r="N9" s="32"/>
      <x:c r="O9" s="32"/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 t="str">
        <x:v>Network &amp; Wi-Fi</x:v>
      </x:c>
      <x:c r="L10" s="32" t="str">
        <x:v>Resolved</x:v>
      </x:c>
      <x:c r="M10" s="32"/>
      <x:c r="N10" s="32"/>
      <x:c r="O10" s="32"/>
    </x:row>
    <x:row r="11">
      <x:c r="A11" s="32"/>
      <x:c r="B11" s="32"/>
      <x:c r="C11" s="32"/>
      <x:c r="D11" s="32"/>
      <x:c r="E11" s="32"/>
      <x:c r="F11" s="54" t="str">
        <x:v>Project Snapshot</x:v>
      </x:c>
      <x:c r="G11" s="54" t="str">
        <x:v>Value</x:v>
      </x:c>
      <x:c r="H11" s="32"/>
      <x:c r="I11" s="32"/>
      <x:c r="J11" s="32"/>
      <x:c r="K11" s="32" t="str">
        <x:v>Mobile Device</x:v>
      </x:c>
      <x:c r="L11" s="32" t="str">
        <x:v>Closed</x:v>
      </x:c>
      <x:c r="M11" s="32"/>
      <x:c r="N11" s="32"/>
      <x:c r="O11" s="32"/>
    </x:row>
    <x:row r="12">
      <x:c r="A12" s="32"/>
      <x:c r="B12" s="32"/>
      <x:c r="C12" s="32"/>
      <x:c r="D12" s="32"/>
      <x:c r="E12" s="32"/>
      <x:c r="F12" s="32" t="str">
        <x:v>Snapshot Date/Time</x:v>
      </x:c>
      <x:c r="G12" s="55" t="n">
        <x:v>46270.708333333336</x:v>
      </x:c>
      <x:c r="H12" s="32"/>
      <x:c r="I12" s="32"/>
      <x:c r="J12" s="32"/>
      <x:c r="K12" s="32" t="str">
        <x:v>Cybersecurity</x:v>
      </x:c>
      <x:c r="L12" s="32"/>
      <x:c r="M12" s="32"/>
      <x:c r="N12" s="32"/>
      <x:c r="O12" s="32"/>
    </x:row>
    <x:row r="13">
      <x:c r="A13" s="32"/>
      <x:c r="B13" s="32"/>
      <x:c r="C13" s="32"/>
      <x:c r="D13" s="32"/>
      <x:c r="E13" s="32"/>
      <x:c r="F13" s="32" t="str">
        <x:v>Definition</x:v>
      </x:c>
      <x:c r="G13" s="32" t="str">
        <x:v>Used for SLA ageing on tickets that are still open.</x:v>
      </x:c>
      <x:c r="H13" s="32"/>
      <x:c r="I13" s="32"/>
      <x:c r="J13" s="32"/>
      <x:c r="K13" s="32"/>
      <x:c r="L13" s="32"/>
      <x:c r="M13" s="32"/>
      <x:c r="N13" s="32"/>
      <x:c r="O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</x:row>
    <x:row r="15">
      <x:c r="A15" s="54" t="str">
        <x:v>Ticket Lifecycle</x:v>
      </x:c>
      <x:c r="B15" s="54" t="str">
        <x:v>Meaning</x:v>
      </x:c>
      <x:c r="C15" s="54"/>
      <x:c r="D15" s="54" t="str">
        <x:v>Priority</x:v>
      </x:c>
      <x:c r="E15" s="54" t="str">
        <x:v>Business Meaning</x:v>
      </x:c>
      <x:c r="F15" s="54"/>
      <x:c r="G15" s="54" t="str">
        <x:v>Field</x:v>
      </x:c>
      <x:c r="H15" s="54" t="str">
        <x:v>Purpose</x:v>
      </x:c>
      <x:c r="I15" s="32"/>
      <x:c r="J15" s="32"/>
      <x:c r="K15" s="32"/>
      <x:c r="L15" s="32"/>
      <x:c r="M15" s="32"/>
      <x:c r="N15" s="32"/>
      <x:c r="O15" s="32"/>
    </x:row>
    <x:row r="16">
      <x:c r="A16" s="32" t="str">
        <x:v>New</x:v>
      </x:c>
      <x:c r="B16" s="32" t="str">
        <x:v>Request received but not yet triaged.</x:v>
      </x:c>
      <x:c r="C16" s="32"/>
      <x:c r="D16" s="32" t="str">
        <x:v>P1</x:v>
      </x:c>
      <x:c r="E16" s="32" t="str">
        <x:v>Critical business outage or major security incident.</x:v>
      </x:c>
      <x:c r="F16" s="32"/>
      <x:c r="G16" s="32" t="str">
        <x:v>Employee_ID</x:v>
      </x:c>
      <x:c r="H16" s="32" t="str">
        <x:v>Links every ticket to Employee_Master.</x:v>
      </x:c>
      <x:c r="I16" s="32"/>
      <x:c r="J16" s="32"/>
      <x:c r="K16" s="32"/>
      <x:c r="L16" s="32"/>
      <x:c r="M16" s="32"/>
      <x:c r="N16" s="32"/>
      <x:c r="O16" s="32"/>
    </x:row>
    <x:row r="17">
      <x:c r="A17" s="32" t="str">
        <x:v>Assigned</x:v>
      </x:c>
      <x:c r="B17" s="32" t="str">
        <x:v>Owner has been allocated.</x:v>
      </x:c>
      <x:c r="C17" s="32"/>
      <x:c r="D17" s="32" t="str">
        <x:v>P2</x:v>
      </x:c>
      <x:c r="E17" s="32" t="str">
        <x:v>High-impact issue with major work disruption.</x:v>
      </x:c>
      <x:c r="F17" s="32"/>
      <x:c r="G17" s="32" t="str">
        <x:v>Impact</x:v>
      </x:c>
      <x:c r="H17" s="32" t="str">
        <x:v>How widely or severely the issue affects work.</x:v>
      </x:c>
      <x:c r="I17" s="32"/>
      <x:c r="J17" s="32"/>
      <x:c r="K17" s="32"/>
      <x:c r="L17" s="32"/>
      <x:c r="M17" s="32"/>
      <x:c r="N17" s="32"/>
      <x:c r="O17" s="32"/>
    </x:row>
    <x:row r="18">
      <x:c r="A18" s="32" t="str">
        <x:v>In Progress</x:v>
      </x:c>
      <x:c r="B18" s="32" t="str">
        <x:v>IT is actively troubleshooting.</x:v>
      </x:c>
      <x:c r="C18" s="32"/>
      <x:c r="D18" s="32" t="str">
        <x:v>P3</x:v>
      </x:c>
      <x:c r="E18" s="32" t="str">
        <x:v>Normal support issue with a workaround or limited impact.</x:v>
      </x:c>
      <x:c r="F18" s="32"/>
      <x:c r="G18" s="32" t="str">
        <x:v>Urgency</x:v>
      </x:c>
      <x:c r="H18" s="32" t="str">
        <x:v>How quickly the issue needs attention.</x:v>
      </x:c>
      <x:c r="I18" s="32"/>
      <x:c r="J18" s="32"/>
      <x:c r="K18" s="32"/>
      <x:c r="L18" s="32"/>
      <x:c r="M18" s="32"/>
      <x:c r="N18" s="32"/>
      <x:c r="O18" s="32"/>
    </x:row>
    <x:row r="19">
      <x:c r="A19" s="32" t="str">
        <x:v>Waiting on User</x:v>
      </x:c>
      <x:c r="B19" s="32" t="str">
        <x:v>IT needs information/action from the requester.</x:v>
      </x:c>
      <x:c r="C19" s="32"/>
      <x:c r="D19" s="32" t="str">
        <x:v>P4</x:v>
      </x:c>
      <x:c r="E19" s="32" t="str">
        <x:v>Low-impact request or minor inconvenience.</x:v>
      </x:c>
      <x:c r="F19" s="32"/>
      <x:c r="G19" s="32" t="str">
        <x:v>Priority</x:v>
      </x:c>
      <x:c r="H19" s="32" t="str">
        <x:v>Calculated from Impact × Urgency.</x:v>
      </x:c>
      <x:c r="I19" s="32"/>
      <x:c r="J19" s="32"/>
      <x:c r="K19" s="32"/>
      <x:c r="L19" s="32"/>
      <x:c r="M19" s="32"/>
      <x:c r="N19" s="32"/>
      <x:c r="O19" s="32"/>
    </x:row>
    <x:row r="20">
      <x:c r="A20" s="32" t="str">
        <x:v>Waiting on Vendor</x:v>
      </x:c>
      <x:c r="B20" s="32" t="str">
        <x:v>External supplier action is required.</x:v>
      </x:c>
      <x:c r="C20" s="32"/>
      <x:c r="D20" s="32"/>
      <x:c r="E20" s="32"/>
      <x:c r="F20" s="32"/>
      <x:c r="G20" s="32" t="str">
        <x:v>SLA</x:v>
      </x:c>
      <x:c r="H20" s="32" t="str">
        <x:v>Measures response and resolution against targets.</x:v>
      </x:c>
      <x:c r="I20" s="32"/>
      <x:c r="J20" s="32"/>
      <x:c r="K20" s="32"/>
      <x:c r="L20" s="32"/>
      <x:c r="M20" s="32"/>
      <x:c r="N20" s="32"/>
      <x:c r="O20" s="32"/>
    </x:row>
    <x:row r="21">
      <x:c r="A21" s="32" t="str">
        <x:v>Resolved</x:v>
      </x:c>
      <x:c r="B21" s="32" t="str">
        <x:v>Technical solution completed; confirmation pending.</x:v>
      </x:c>
      <x:c r="C21" s="32"/>
      <x:c r="D21" s="32"/>
      <x:c r="E21" s="32"/>
      <x:c r="F21" s="32"/>
      <x:c r="G21" s="32" t="str">
        <x:v>Root Cause</x:v>
      </x:c>
      <x:c r="H21" s="32" t="str">
        <x:v>Why the issue happened, not just the symptom.</x:v>
      </x:c>
      <x:c r="I21" s="32"/>
      <x:c r="J21" s="32"/>
      <x:c r="K21" s="32"/>
      <x:c r="L21" s="32"/>
      <x:c r="M21" s="32"/>
      <x:c r="N21" s="32"/>
      <x:c r="O21" s="32"/>
    </x:row>
    <x:row r="22">
      <x:c r="A22" s="32" t="str">
        <x:v>Closed</x:v>
      </x:c>
      <x:c r="B22" s="32" t="str">
        <x:v>Requester confirmed or closure completed.</x:v>
      </x:c>
      <x:c r="C22" s="32"/>
      <x:c r="D22" s="32"/>
      <x:c r="E22" s="32"/>
      <x:c r="F22" s="32"/>
      <x:c r="G22" s="32" t="str">
        <x:v>Knowledge Article</x:v>
      </x:c>
      <x:c r="H22" s="32" t="str">
        <x:v>Reusable documentation that can reduce repeated tickets.</x:v>
      </x:c>
      <x:c r="I22" s="32"/>
      <x:c r="J22" s="32"/>
      <x:c r="K22" s="32"/>
      <x:c r="L22" s="32"/>
      <x:c r="M22" s="32"/>
      <x:c r="N22" s="32"/>
      <x:c r="O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</x:row>
    <x:row r="24">
      <x:c r="A24" s="32" t="str">
        <x:v>Design principle</x:v>
      </x:c>
      <x:c r="B24" s="32" t="str">
        <x:v>Record both the fix and the cause so recurring issues can later be analysed in Power BI.</x:v>
      </x:c>
      <x:c r="C24" s="3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12" hidden="0" customWidth="1"/>
    <x:col min="4" max="4" width="20" hidden="0" customWidth="1"/>
    <x:col min="5" max="5" width="27" hidden="0" customWidth="1"/>
    <x:col min="6" max="6" width="22" hidden="0" customWidth="1"/>
    <x:col min="7" max="7" width="12" hidden="0" customWidth="1"/>
    <x:col min="8" max="8" width="22" hidden="0" customWidth="1"/>
    <x:col min="9" max="9" width="20" hidden="0" customWidth="1"/>
    <x:col min="10" max="10" width="38" hidden="0" customWidth="1"/>
    <x:col min="11" max="11" width="11" hidden="0" customWidth="1"/>
    <x:col min="12" max="12" width="11" hidden="0" customWidth="1"/>
    <x:col min="13" max="13" width="10" hidden="0" customWidth="1"/>
    <x:col min="14" max="14" width="18" hidden="0" customWidth="1"/>
    <x:col min="15" max="15" width="14" hidden="0" customWidth="1"/>
    <x:col min="16" max="16" width="20" hidden="0" customWidth="1"/>
    <x:col min="17" max="17" width="20" hidden="0" customWidth="1"/>
    <x:col min="18" max="18" width="16" hidden="0" customWidth="1"/>
    <x:col min="19" max="19" width="17" hidden="0" customWidth="1"/>
    <x:col min="20" max="20" width="14" hidden="0" customWidth="1"/>
    <x:col min="21" max="21" width="15" hidden="0" customWidth="1"/>
    <x:col min="22" max="22" width="16" hidden="0" customWidth="1"/>
    <x:col min="23" max="23" width="18" hidden="0" customWidth="1"/>
    <x:col min="24" max="24" width="38" hidden="0" customWidth="1"/>
    <x:col min="25" max="25" width="28" hidden="0" customWidth="1"/>
    <x:col min="26" max="26" width="18" hidden="0" customWidth="1"/>
    <x:col min="27" max="27" width="16" hidden="0" customWidth="1"/>
    <x:col min="28" max="28" width="10" hidden="0" customWidth="1"/>
    <x:col min="29" max="29" width="36" hidden="0" customWidth="1"/>
  </x:cols>
  <x:sheetData>
    <x:row r="1" ht="28" customHeight="1">
      <x:c r="A1" s="45" t="str">
        <x:v>Urban Edge SA — IT Helpdesk Ticket Register | Demonstration Project — Mock Data Only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  <x:c r="O1" s="45"/>
      <x:c r="P1" s="45"/>
      <x:c r="Q1" s="45"/>
      <x:c r="R1" s="45"/>
      <x:c r="S1" s="45"/>
      <x:c r="T1" s="45"/>
      <x:c r="U1" s="45"/>
      <x:c r="V1" s="45"/>
      <x:c r="W1" s="45"/>
      <x:c r="X1" s="45"/>
      <x:c r="Y1" s="45"/>
      <x:c r="Z1" s="45"/>
      <x:c r="AA1" s="45"/>
      <x:c r="AB1" s="45"/>
      <x:c r="AC1" s="45"/>
    </x:row>
    <x:row r="2">
      <x:c r="A2" s="61" t="str">
        <x:v>Total Tickets</x:v>
      </x:c>
      <x:c r="B2" s="61" t="n">
        <x:f>COUNTA(A9:A108)</x:f>
        <x:v>50</x:v>
      </x:c>
      <x:c r="C2" s="61" t="str">
        <x:v>Open / Active</x:v>
      </x:c>
      <x:c r="D2" s="61" t="n">
        <x:f>COUNTIF(N9:N108,"New")+COUNTIF(N9:N108,"Assigned")+COUNTIF(N9:N108,"In Progress")+COUNTIF(N9:N108,"Waiting on User")+COUNTIF(N9:N108,"Waiting on Vendor")</x:f>
        <x:v>8</x:v>
      </x:c>
      <x:c r="E2" s="61" t="str">
        <x:v>Closed / Resolved</x:v>
      </x:c>
      <x:c r="F2" s="61" t="n">
        <x:f>COUNTIF(N9:N108,"Closed")+COUNTIF(N9:N108,"Resolved")</x:f>
        <x:v>42</x:v>
      </x:c>
      <x:c r="G2" s="61" t="str">
        <x:v>Resolution SLA Met</x:v>
      </x:c>
      <x:c r="H2" s="61" t="n">
        <x:f>COUNTIF(W9:W108,"Met")</x:f>
        <x:v>26</x:v>
      </x:c>
      <x:c r="I2" s="61" t="str">
        <x:v>SLA Breaches</x:v>
      </x:c>
      <x:c r="J2" s="61" t="n">
        <x:f>COUNTIF(W9:W108,"Breached")</x:f>
        <x:v>24</x:v>
      </x:c>
    </x:row>
    <x:row r="4">
      <x:c r="A4" s="64" t="str">
        <x:v>Workflow: Request → Triage → Priority → Assign → Troubleshoot → Resolve → Document → Analyse</x:v>
      </x:c>
      <x:c r="B4" s="64"/>
      <x:c r="C4" s="64"/>
      <x:c r="D4" s="64"/>
      <x:c r="E4" s="64"/>
      <x:c r="F4" s="64"/>
      <x:c r="G4" s="64"/>
      <x:c r="H4" s="64"/>
      <x:c r="I4" s="64"/>
      <x:c r="J4" s="64"/>
      <x:c r="K4" s="64"/>
      <x:c r="L4" s="64"/>
      <x:c r="M4" s="64"/>
      <x:c r="N4" s="64"/>
      <x:c r="O4" s="64"/>
      <x:c r="P4" s="64"/>
      <x:c r="Q4" s="64"/>
      <x:c r="R4" s="64"/>
      <x:c r="S4" s="64"/>
      <x:c r="T4" s="64"/>
      <x:c r="U4" s="64"/>
      <x:c r="V4" s="64"/>
      <x:c r="W4" s="64"/>
      <x:c r="X4" s="64"/>
      <x:c r="Y4" s="64"/>
      <x:c r="Z4" s="64"/>
      <x:c r="AA4" s="64"/>
      <x:c r="AB4" s="64"/>
      <x:c r="AC4" s="64"/>
    </x:row>
    <x:row r="5">
      <x:c r="A5" s="64" t="str">
        <x:v>Snapshot: 05-Sep-2026 17:00 | SLA calculations use calendar hours for demonstration purposes.</x:v>
      </x:c>
      <x:c r="B5" s="64"/>
      <x:c r="C5" s="64"/>
      <x:c r="D5" s="64"/>
      <x:c r="E5" s="64"/>
      <x:c r="F5" s="64"/>
      <x:c r="G5" s="64"/>
      <x:c r="H5" s="64"/>
      <x:c r="I5" s="64"/>
      <x:c r="J5" s="64"/>
      <x:c r="K5" s="64"/>
      <x:c r="L5" s="64"/>
      <x:c r="M5" s="64"/>
      <x:c r="N5" s="64"/>
      <x:c r="O5" s="64"/>
      <x:c r="P5" s="64"/>
      <x:c r="Q5" s="64"/>
      <x:c r="R5" s="64"/>
      <x:c r="S5" s="64"/>
      <x:c r="T5" s="64"/>
      <x:c r="U5" s="64"/>
      <x:c r="V5" s="64"/>
      <x:c r="W5" s="64"/>
      <x:c r="X5" s="64"/>
      <x:c r="Y5" s="64"/>
      <x:c r="Z5" s="64"/>
      <x:c r="AA5" s="64"/>
      <x:c r="AB5" s="64"/>
      <x:c r="AC5" s="64"/>
    </x:row>
    <x:row r="8" ht="34" customHeight="1">
      <x:c r="A8" s="69" t="str">
        <x:v>Ticket_ID</x:v>
      </x:c>
      <x:c r="B8" s="69" t="str">
        <x:v>Created_DateTime</x:v>
      </x:c>
      <x:c r="C8" s="69" t="str">
        <x:v>Employee_ID</x:v>
      </x:c>
      <x:c r="D8" s="69" t="str">
        <x:v>Employee_Name</x:v>
      </x:c>
      <x:c r="E8" s="69" t="str">
        <x:v>Department</x:v>
      </x:c>
      <x:c r="F8" s="69" t="str">
        <x:v>Work_Location</x:v>
      </x:c>
      <x:c r="G8" s="69" t="str">
        <x:v>Channel</x:v>
      </x:c>
      <x:c r="H8" s="69" t="str">
        <x:v>Category</x:v>
      </x:c>
      <x:c r="I8" s="69" t="str">
        <x:v>Subcategory</x:v>
      </x:c>
      <x:c r="J8" s="69" t="str">
        <x:v>Issue_Summary</x:v>
      </x:c>
      <x:c r="K8" s="69" t="str">
        <x:v>Impact</x:v>
      </x:c>
      <x:c r="L8" s="69" t="str">
        <x:v>Urgency</x:v>
      </x:c>
      <x:c r="M8" s="69" t="str">
        <x:v>Priority</x:v>
      </x:c>
      <x:c r="N8" s="69" t="str">
        <x:v>Status</x:v>
      </x:c>
      <x:c r="O8" s="69" t="str">
        <x:v>Assigned_To</x:v>
      </x:c>
      <x:c r="P8" s="69" t="str">
        <x:v>First_Response_DateTime</x:v>
      </x:c>
      <x:c r="Q8" s="69" t="str">
        <x:v>Resolved_DateTime</x:v>
      </x:c>
      <x:c r="R8" s="69" t="str">
        <x:v>Response_Target_Hours</x:v>
      </x:c>
      <x:c r="S8" s="69" t="str">
        <x:v>Resolution_Target_Hours</x:v>
      </x:c>
      <x:c r="T8" s="69" t="str">
        <x:v>Response_Hours</x:v>
      </x:c>
      <x:c r="U8" s="69" t="str">
        <x:v>Resolution_Hours</x:v>
      </x:c>
      <x:c r="V8" s="69" t="str">
        <x:v>Response_SLA_Status</x:v>
      </x:c>
      <x:c r="W8" s="69" t="str">
        <x:v>Resolution_SLA_Status</x:v>
      </x:c>
      <x:c r="X8" s="69" t="str">
        <x:v>Resolution_Summary</x:v>
      </x:c>
      <x:c r="Y8" s="69" t="str">
        <x:v>Root_Cause</x:v>
      </x:c>
      <x:c r="Z8" s="69" t="str">
        <x:v>Knowledge_Article</x:v>
      </x:c>
      <x:c r="AA8" s="69" t="str">
        <x:v>Customer_Satisfaction</x:v>
      </x:c>
      <x:c r="AB8" s="69" t="str">
        <x:v>Reopened</x:v>
      </x:c>
      <x:c r="AC8" s="69" t="str">
        <x:v>Notes</x:v>
      </x:c>
    </x:row>
    <x:row r="9">
      <x:c r="A9" s="32" t="str">
        <x:v>IT-2026-001</x:v>
      </x:c>
      <x:c r="B9" s="55" t="n">
        <x:v>46204.94513888889</x:v>
      </x:c>
      <x:c r="C9" s="32" t="str">
        <x:v>UE024</x:v>
      </x:c>
      <x:c r="D9" s="32" t="str">
        <x:f>IFERROR(VLOOKUP(C9,Employee_Master!$A$2:$N$31,2,FALSE),"")</x:f>
        <x:v>Demo Employee 24</x:v>
      </x:c>
      <x:c r="E9" s="32" t="str">
        <x:f>IFERROR(VLOOKUP(C9,Employee_Master!$A$2:$N$31,4,FALSE),"")</x:f>
        <x:v>Construction &amp; Project Management</x:v>
      </x:c>
      <x:c r="F9" s="32" t="str">
        <x:f>IFERROR(VLOOKUP(C9,Employee_Master!$A$2:$N$31,6,FALSE),"")</x:f>
        <x:v>Para Hills Project</x:v>
      </x:c>
      <x:c r="G9" s="32" t="str">
        <x:v>Phone</x:v>
      </x:c>
      <x:c r="H9" s="32" t="str">
        <x:v>Access &amp; Permissions</x:v>
      </x:c>
      <x:c r="I9" s="32" t="str">
        <x:v>MFA</x:v>
      </x:c>
      <x:c r="J9" s="32" t="str">
        <x:v>MFA prompt cannot be completed</x:v>
      </x:c>
      <x:c r="K9" s="32" t="str">
        <x:v>Medium</x:v>
      </x:c>
      <x:c r="L9" s="32" t="str">
        <x:v>Medium</x:v>
      </x:c>
      <x:c r="M9" s="32" t="str">
        <x:f>IFERROR(INDEX(Helpdesk_Setup!$B$5:$D$7,MATCH(K9,Helpdesk_Setup!$A$5:$A$7,0),MATCH(L9,Helpdesk_Setup!$B$4:$D$4,0)),"")</x:f>
        <x:v>P3</x:v>
      </x:c>
      <x:c r="N9" s="32" t="str">
        <x:v>Resolved</x:v>
      </x:c>
      <x:c r="O9" s="32" t="str">
        <x:v>UE030</x:v>
      </x:c>
      <x:c r="P9" s="55" t="n">
        <x:v>46205.095138888886</x:v>
      </x:c>
      <x:c r="Q9" s="55" t="n">
        <x:v>46205.19513888889</x:v>
      </x:c>
      <x:c r="R9" s="74" t="n">
        <x:f>IFERROR(VLOOKUP(M9,Helpdesk_Setup!$F$5:$H$8,2,FALSE),"")</x:f>
        <x:v>4</x:v>
      </x:c>
      <x:c r="S9" s="74" t="n">
        <x:f>IFERROR(VLOOKUP(M9,Helpdesk_Setup!$F$5:$H$8,3,FALSE),"")</x:f>
        <x:v>24</x:v>
      </x:c>
      <x:c r="T9" s="74" t="n">
        <x:f>IF(P9="",(Helpdesk_Setup!$G$12-B9)*24,(P9-B9)*24)</x:f>
        <x:v>3.5999999998603016</x:v>
      </x:c>
      <x:c r="U9" s="74" t="n">
        <x:f>IF(Q9="",(Helpdesk_Setup!$G$12-B9)*24,(Q9-B9)*24)</x:f>
        <x:v>6</x:v>
      </x:c>
      <x:c r="V9" s="32" t="str">
        <x:f>IF(T9&lt;=R9,"Met","Breached")</x:f>
        <x:v>Met</x:v>
      </x:c>
      <x:c r="W9" s="32" t="str">
        <x:f>IF(U9&lt;=S9,"Met","Breached")</x:f>
        <x:v>Met</x:v>
      </x:c>
      <x:c r="X9" s="32" t="str">
        <x:v>Re-registered Microsoft Authenticator</x:v>
      </x:c>
      <x:c r="Y9" s="32" t="str">
        <x:v>Old authenticator registration</x:v>
      </x:c>
      <x:c r="Z9" s="32" t="str">
        <x:v>KB-008</x:v>
      </x:c>
      <x:c r="AA9" s="75" t="n">
        <x:v>5</x:v>
      </x:c>
      <x:c r="AB9" s="32" t="str">
        <x:v>No</x:v>
      </x:c>
      <x:c r="AC9" s="32" t="str"/>
    </x:row>
    <x:row r="10">
      <x:c r="A10" s="32" t="str">
        <x:v>IT-2026-002</x:v>
      </x:c>
      <x:c r="B10" s="55" t="n">
        <x:v>46206.63055555556</x:v>
      </x:c>
      <x:c r="C10" s="32" t="str">
        <x:v>UE020</x:v>
      </x:c>
      <x:c r="D10" s="32" t="str">
        <x:f>IFERROR(VLOOKUP(C10,Employee_Master!$A$2:$N$31,2,FALSE),"")</x:f>
        <x:v>Demo Employee 20</x:v>
      </x:c>
      <x:c r="E10" s="32" t="str">
        <x:f>IFERROR(VLOOKUP(C10,Employee_Master!$A$2:$N$31,4,FALSE),"")</x:f>
        <x:v>Construction &amp; Project Management</x:v>
      </x:c>
      <x:c r="F10" s="32" t="str">
        <x:f>IFERROR(VLOOKUP(C10,Employee_Master!$A$2:$N$31,6,FALSE),"")</x:f>
        <x:v>Pooraka Head Office</x:v>
      </x:c>
      <x:c r="G10" s="32" t="str">
        <x:v>Form</x:v>
      </x:c>
      <x:c r="H10" s="32" t="str">
        <x:v>Software</x:v>
      </x:c>
      <x:c r="I10" s="32" t="str">
        <x:v>Installation</x:v>
      </x:c>
      <x:c r="J10" s="32" t="str">
        <x:v>Approved software installation requested</x:v>
      </x:c>
      <x:c r="K10" s="32" t="str">
        <x:v>Low</x:v>
      </x:c>
      <x:c r="L10" s="32" t="str">
        <x:v>Medium</x:v>
      </x:c>
      <x:c r="M10" s="32" t="str">
        <x:f>IFERROR(INDEX(Helpdesk_Setup!$B$5:$D$7,MATCH(K10,Helpdesk_Setup!$A$5:$A$7,0),MATCH(L10,Helpdesk_Setup!$B$4:$D$4,0)),"")</x:f>
        <x:v>P4</x:v>
      </x:c>
      <x:c r="N10" s="32" t="str">
        <x:v>Closed</x:v>
      </x:c>
      <x:c r="O10" s="32" t="str">
        <x:v>UE030</x:v>
      </x:c>
      <x:c r="P10" s="55" t="n">
        <x:v>46207.09722222222</x:v>
      </x:c>
      <x:c r="Q10" s="55" t="n">
        <x:v>46207.38055555556</x:v>
      </x:c>
      <x:c r="R10" s="74" t="n">
        <x:f>IFERROR(VLOOKUP(M10,Helpdesk_Setup!$F$5:$H$8,2,FALSE),"")</x:f>
        <x:v>8</x:v>
      </x:c>
      <x:c r="S10" s="74" t="n">
        <x:f>IFERROR(VLOOKUP(M10,Helpdesk_Setup!$F$5:$H$8,3,FALSE),"")</x:f>
        <x:v>72</x:v>
      </x:c>
      <x:c r="T10" s="74" t="n">
        <x:f>IF(P10="",(Helpdesk_Setup!$G$12-B10)*24,(P10-B10)*24)</x:f>
        <x:v>11.199999999837019</x:v>
      </x:c>
      <x:c r="U10" s="74" t="n">
        <x:f>IF(Q10="",(Helpdesk_Setup!$G$12-B10)*24,(Q10-B10)*24)</x:f>
        <x:v>18</x:v>
      </x:c>
      <x:c r="V10" s="32" t="str">
        <x:f>IF(T10&lt;=R10,"Met","Breached")</x:f>
        <x:v>Breached</x:v>
      </x:c>
      <x:c r="W10" s="32" t="str">
        <x:f>IF(U10&lt;=S10,"Met","Breached")</x:f>
        <x:v>Met</x:v>
      </x:c>
      <x:c r="X10" s="32" t="str">
        <x:v>Installed approved software and documented licence allocation</x:v>
      </x:c>
      <x:c r="Y10" s="32" t="str">
        <x:v>Application not installed</x:v>
      </x:c>
      <x:c r="Z10" s="32" t="str">
        <x:v>KB-015</x:v>
      </x:c>
      <x:c r="AA10" s="75" t="n">
        <x:v>5</x:v>
      </x:c>
      <x:c r="AB10" s="32" t="str">
        <x:v>No</x:v>
      </x:c>
      <x:c r="AC10" s="32" t="str"/>
    </x:row>
    <x:row r="11">
      <x:c r="A11" s="32" t="str">
        <x:v>IT-2026-003</x:v>
      </x:c>
      <x:c r="B11" s="55" t="n">
        <x:v>46206.76944444444</x:v>
      </x:c>
      <x:c r="C11" s="32" t="str">
        <x:v>UE010</x:v>
      </x:c>
      <x:c r="D11" s="32" t="str">
        <x:f>IFERROR(VLOOKUP(C11,Employee_Master!$A$2:$N$31,2,FALSE),"")</x:f>
        <x:v>Demo Employee 10</x:v>
      </x:c>
      <x:c r="E11" s="32" t="str">
        <x:f>IFERROR(VLOOKUP(C11,Employee_Master!$A$2:$N$31,4,FALSE),"")</x:f>
        <x:v>Sales</x:v>
      </x:c>
      <x:c r="F11" s="32" t="str">
        <x:f>IFERROR(VLOOKUP(C11,Employee_Master!$A$2:$N$31,6,FALSE),"")</x:f>
        <x:v>Pooraka Head Office</x:v>
      </x:c>
      <x:c r="G11" s="32" t="str">
        <x:v>Form</x:v>
      </x:c>
      <x:c r="H11" s="32" t="str">
        <x:v>Mobile Device</x:v>
      </x:c>
      <x:c r="I11" s="32" t="str">
        <x:v>Authenticator</x:v>
      </x:c>
      <x:c r="J11" s="32" t="str">
        <x:v>New phone needs Microsoft Authenticator setup</x:v>
      </x:c>
      <x:c r="K11" s="32" t="str">
        <x:v>Medium</x:v>
      </x:c>
      <x:c r="L11" s="32" t="str">
        <x:v>Low</x:v>
      </x:c>
      <x:c r="M11" s="32" t="str">
        <x:f>IFERROR(INDEX(Helpdesk_Setup!$B$5:$D$7,MATCH(K11,Helpdesk_Setup!$A$5:$A$7,0),MATCH(L11,Helpdesk_Setup!$B$4:$D$4,0)),"")</x:f>
        <x:v>P4</x:v>
      </x:c>
      <x:c r="N11" s="32" t="str">
        <x:v>Closed</x:v>
      </x:c>
      <x:c r="O11" s="32" t="str">
        <x:v>UE030</x:v>
      </x:c>
      <x:c r="P11" s="55" t="n">
        <x:v>46207.069444444445</x:v>
      </x:c>
      <x:c r="Q11" s="55" t="n">
        <x:v>46208.86944444444</x:v>
      </x:c>
      <x:c r="R11" s="74" t="n">
        <x:f>IFERROR(VLOOKUP(M11,Helpdesk_Setup!$F$5:$H$8,2,FALSE),"")</x:f>
        <x:v>8</x:v>
      </x:c>
      <x:c r="S11" s="74" t="n">
        <x:f>IFERROR(VLOOKUP(M11,Helpdesk_Setup!$F$5:$H$8,3,FALSE),"")</x:f>
        <x:v>72</x:v>
      </x:c>
      <x:c r="T11" s="74" t="n">
        <x:f>IF(P11="",(Helpdesk_Setup!$G$12-B11)*24,(P11-B11)*24)</x:f>
        <x:v>7.200000000069849</x:v>
      </x:c>
      <x:c r="U11" s="74" t="n">
        <x:f>IF(Q11="",(Helpdesk_Setup!$G$12-B11)*24,(Q11-B11)*24)</x:f>
        <x:v>50.399999999965075</x:v>
      </x:c>
      <x:c r="V11" s="32" t="str">
        <x:f>IF(T11&lt;=R11,"Met","Breached")</x:f>
        <x:v>Met</x:v>
      </x:c>
      <x:c r="W11" s="32" t="str">
        <x:f>IF(U11&lt;=S11,"Met","Breached")</x:f>
        <x:v>Met</x:v>
      </x:c>
      <x:c r="X11" s="32" t="str">
        <x:v>Registered new device and removed previous authenticator</x:v>
      </x:c>
      <x:c r="Y11" s="32" t="str">
        <x:v>Device replacement</x:v>
      </x:c>
      <x:c r="Z11" s="32" t="str">
        <x:v>KB-023</x:v>
      </x:c>
      <x:c r="AA11" s="75" t="n">
        <x:v>5</x:v>
      </x:c>
      <x:c r="AB11" s="32" t="str">
        <x:v>No</x:v>
      </x:c>
      <x:c r="AC11" s="32" t="str"/>
    </x:row>
    <x:row r="12">
      <x:c r="A12" s="32" t="str">
        <x:v>IT-2026-004</x:v>
      </x:c>
      <x:c r="B12" s="55" t="n">
        <x:v>46207.06597222222</x:v>
      </x:c>
      <x:c r="C12" s="32" t="str">
        <x:v>UE006</x:v>
      </x:c>
      <x:c r="D12" s="32" t="str">
        <x:f>IFERROR(VLOOKUP(C12,Employee_Master!$A$2:$N$31,2,FALSE),"")</x:f>
        <x:v>Demo Employee 06</x:v>
      </x:c>
      <x:c r="E12" s="32" t="str">
        <x:f>IFERROR(VLOOKUP(C12,Employee_Master!$A$2:$N$31,4,FALSE),"")</x:f>
        <x:v>Administration</x:v>
      </x:c>
      <x:c r="F12" s="32" t="str">
        <x:f>IFERROR(VLOOKUP(C12,Employee_Master!$A$2:$N$31,6,FALSE),"")</x:f>
        <x:v>Pooraka Head Office</x:v>
      </x:c>
      <x:c r="G12" s="32" t="str">
        <x:v>Phone</x:v>
      </x:c>
      <x:c r="H12" s="32" t="str">
        <x:v>Microsoft 365</x:v>
      </x:c>
      <x:c r="I12" s="32" t="str">
        <x:v>Teams</x:v>
      </x:c>
      <x:c r="J12" s="32" t="str">
        <x:v>Teams microphone not detected</x:v>
      </x:c>
      <x:c r="K12" s="32" t="str">
        <x:v>Medium</x:v>
      </x:c>
      <x:c r="L12" s="32" t="str">
        <x:v>Low</x:v>
      </x:c>
      <x:c r="M12" s="32" t="str">
        <x:f>IFERROR(INDEX(Helpdesk_Setup!$B$5:$D$7,MATCH(K12,Helpdesk_Setup!$A$5:$A$7,0),MATCH(L12,Helpdesk_Setup!$B$4:$D$4,0)),"")</x:f>
        <x:v>P4</x:v>
      </x:c>
      <x:c r="N12" s="32" t="str">
        <x:v>Closed</x:v>
      </x:c>
      <x:c r="O12" s="32" t="str">
        <x:v>UE030</x:v>
      </x:c>
      <x:c r="P12" s="55" t="n">
        <x:v>46207.532638888886</x:v>
      </x:c>
      <x:c r="Q12" s="55" t="n">
        <x:v>46210.665972222225</x:v>
      </x:c>
      <x:c r="R12" s="74" t="n">
        <x:f>IFERROR(VLOOKUP(M12,Helpdesk_Setup!$F$5:$H$8,2,FALSE),"")</x:f>
        <x:v>8</x:v>
      </x:c>
      <x:c r="S12" s="74" t="n">
        <x:f>IFERROR(VLOOKUP(M12,Helpdesk_Setup!$F$5:$H$8,3,FALSE),"")</x:f>
        <x:v>72</x:v>
      </x:c>
      <x:c r="T12" s="74" t="n">
        <x:f>IF(P12="",(Helpdesk_Setup!$G$12-B12)*24,(P12-B12)*24)</x:f>
        <x:v>11.200000000011642</x:v>
      </x:c>
      <x:c r="U12" s="74" t="n">
        <x:f>IF(Q12="",(Helpdesk_Setup!$G$12-B12)*24,(Q12-B12)*24)</x:f>
        <x:v>86.4000000001397</x:v>
      </x:c>
      <x:c r="V12" s="32" t="str">
        <x:f>IF(T12&lt;=R12,"Met","Breached")</x:f>
        <x:v>Breached</x:v>
      </x:c>
      <x:c r="W12" s="32" t="str">
        <x:f>IF(U12&lt;=S12,"Met","Breached")</x:f>
        <x:v>Breached</x:v>
      </x:c>
      <x:c r="X12" s="32" t="str">
        <x:v>Selected correct Windows audio input and restarted Teams</x:v>
      </x:c>
      <x:c r="Y12" s="32" t="str">
        <x:v>Incorrect audio device</x:v>
      </x:c>
      <x:c r="Z12" s="32" t="str">
        <x:v>KB-003</x:v>
      </x:c>
      <x:c r="AA12" s="75" t="n">
        <x:v>4</x:v>
      </x:c>
      <x:c r="AB12" s="32" t="str">
        <x:v>No</x:v>
      </x:c>
      <x:c r="AC12" s="32" t="str"/>
    </x:row>
    <x:row r="13">
      <x:c r="A13" s="32" t="str">
        <x:v>IT-2026-005</x:v>
      </x:c>
      <x:c r="B13" s="55" t="n">
        <x:v>46207.24652777778</x:v>
      </x:c>
      <x:c r="C13" s="32" t="str">
        <x:v>UE006</x:v>
      </x:c>
      <x:c r="D13" s="32" t="str">
        <x:f>IFERROR(VLOOKUP(C13,Employee_Master!$A$2:$N$31,2,FALSE),"")</x:f>
        <x:v>Demo Employee 06</x:v>
      </x:c>
      <x:c r="E13" s="32" t="str">
        <x:f>IFERROR(VLOOKUP(C13,Employee_Master!$A$2:$N$31,4,FALSE),"")</x:f>
        <x:v>Administration</x:v>
      </x:c>
      <x:c r="F13" s="32" t="str">
        <x:f>IFERROR(VLOOKUP(C13,Employee_Master!$A$2:$N$31,6,FALSE),"")</x:f>
        <x:v>Pooraka Head Office</x:v>
      </x:c>
      <x:c r="G13" s="32" t="str">
        <x:v>Teams</x:v>
      </x:c>
      <x:c r="H13" s="32" t="str">
        <x:v>Hardware</x:v>
      </x:c>
      <x:c r="I13" s="32" t="str">
        <x:v>Docking Station</x:v>
      </x:c>
      <x:c r="J13" s="32" t="str">
        <x:v>External monitors not detected</x:v>
      </x:c>
      <x:c r="K13" s="32" t="str">
        <x:v>Medium</x:v>
      </x:c>
      <x:c r="L13" s="32" t="str">
        <x:v>Low</x:v>
      </x:c>
      <x:c r="M13" s="32" t="str">
        <x:f>IFERROR(INDEX(Helpdesk_Setup!$B$5:$D$7,MATCH(K13,Helpdesk_Setup!$A$5:$A$7,0),MATCH(L13,Helpdesk_Setup!$B$4:$D$4,0)),"")</x:f>
        <x:v>P4</x:v>
      </x:c>
      <x:c r="N13" s="32" t="str">
        <x:v>Closed</x:v>
      </x:c>
      <x:c r="O13" s="32" t="str">
        <x:v>UE030</x:v>
      </x:c>
      <x:c r="P13" s="55" t="n">
        <x:v>46207.54652777778</x:v>
      </x:c>
      <x:c r="Q13" s="55" t="n">
        <x:v>46209.34652777778</x:v>
      </x:c>
      <x:c r="R13" s="74" t="n">
        <x:f>IFERROR(VLOOKUP(M13,Helpdesk_Setup!$F$5:$H$8,2,FALSE),"")</x:f>
        <x:v>8</x:v>
      </x:c>
      <x:c r="S13" s="74" t="n">
        <x:f>IFERROR(VLOOKUP(M13,Helpdesk_Setup!$F$5:$H$8,3,FALSE),"")</x:f>
        <x:v>72</x:v>
      </x:c>
      <x:c r="T13" s="74" t="n">
        <x:f>IF(P13="",(Helpdesk_Setup!$G$12-B13)*24,(P13-B13)*24)</x:f>
        <x:v>7.199999999895226</x:v>
      </x:c>
      <x:c r="U13" s="74" t="n">
        <x:f>IF(Q13="",(Helpdesk_Setup!$G$12-B13)*24,(Q13-B13)*24)</x:f>
        <x:v>50.399999999965075</x:v>
      </x:c>
      <x:c r="V13" s="32" t="str">
        <x:f>IF(T13&lt;=R13,"Met","Breached")</x:f>
        <x:v>Met</x:v>
      </x:c>
      <x:c r="W13" s="32" t="str">
        <x:f>IF(U13&lt;=S13,"Met","Breached")</x:f>
        <x:v>Met</x:v>
      </x:c>
      <x:c r="X13" s="32" t="str">
        <x:v>Updated dock firmware and reseated USB-C connection</x:v>
      </x:c>
      <x:c r="Y13" s="32" t="str">
        <x:v>Dock firmware / cable issue</x:v>
      </x:c>
      <x:c r="Z13" s="32" t="str">
        <x:v>KB-012</x:v>
      </x:c>
      <x:c r="AA13" s="75" t="n">
        <x:v>3</x:v>
      </x:c>
      <x:c r="AB13" s="32" t="str">
        <x:v>No</x:v>
      </x:c>
      <x:c r="AC13" s="32" t="str"/>
    </x:row>
    <x:row r="14">
      <x:c r="A14" s="32" t="str">
        <x:v>IT-2026-006</x:v>
      </x:c>
      <x:c r="B14" s="55" t="n">
        <x:v>46208.30902777778</x:v>
      </x:c>
      <x:c r="C14" s="32" t="str">
        <x:v>UE018</x:v>
      </x:c>
      <x:c r="D14" s="32" t="str">
        <x:f>IFERROR(VLOOKUP(C14,Employee_Master!$A$2:$N$31,2,FALSE),"")</x:f>
        <x:v>Demo Employee 18</x:v>
      </x:c>
      <x:c r="E14" s="32" t="str">
        <x:f>IFERROR(VLOOKUP(C14,Employee_Master!$A$2:$N$31,4,FALSE),"")</x:f>
        <x:v>Estimating &amp; Planning</x:v>
      </x:c>
      <x:c r="F14" s="32" t="str">
        <x:f>IFERROR(VLOOKUP(C14,Employee_Master!$A$2:$N$31,6,FALSE),"")</x:f>
        <x:v>Pooraka Head Office</x:v>
      </x:c>
      <x:c r="G14" s="32" t="str">
        <x:v>Email</x:v>
      </x:c>
      <x:c r="H14" s="32" t="str">
        <x:v>Printer &amp; Scanner</x:v>
      </x:c>
      <x:c r="I14" s="32" t="str">
        <x:v>Printer</x:v>
      </x:c>
      <x:c r="J14" s="32" t="str">
        <x:v>Print jobs stuck in queue</x:v>
      </x:c>
      <x:c r="K14" s="32" t="str">
        <x:v>Low</x:v>
      </x:c>
      <x:c r="L14" s="32" t="str">
        <x:v>Medium</x:v>
      </x:c>
      <x:c r="M14" s="32" t="str">
        <x:f>IFERROR(INDEX(Helpdesk_Setup!$B$5:$D$7,MATCH(K14,Helpdesk_Setup!$A$5:$A$7,0),MATCH(L14,Helpdesk_Setup!$B$4:$D$4,0)),"")</x:f>
        <x:v>P4</x:v>
      </x:c>
      <x:c r="N14" s="32" t="str">
        <x:v>Closed</x:v>
      </x:c>
      <x:c r="O14" s="32" t="str">
        <x:v>UE030</x:v>
      </x:c>
      <x:c r="P14" s="55" t="n">
        <x:v>46208.39236111111</x:v>
      </x:c>
      <x:c r="Q14" s="55" t="n">
        <x:v>46209.65902777778</x:v>
      </x:c>
      <x:c r="R14" s="74" t="n">
        <x:f>IFERROR(VLOOKUP(M14,Helpdesk_Setup!$F$5:$H$8,2,FALSE),"")</x:f>
        <x:v>8</x:v>
      </x:c>
      <x:c r="S14" s="74" t="n">
        <x:f>IFERROR(VLOOKUP(M14,Helpdesk_Setup!$F$5:$H$8,3,FALSE),"")</x:f>
        <x:v>72</x:v>
      </x:c>
      <x:c r="T14" s="74" t="n">
        <x:f>IF(P14="",(Helpdesk_Setup!$G$12-B14)*24,(P14-B14)*24)</x:f>
        <x:v>1.9999999998835847</x:v>
      </x:c>
      <x:c r="U14" s="74" t="n">
        <x:f>IF(Q14="",(Helpdesk_Setup!$G$12-B14)*24,(Q14-B14)*24)</x:f>
        <x:v>32.399999999965075</x:v>
      </x:c>
      <x:c r="V14" s="32" t="str">
        <x:f>IF(T14&lt;=R14,"Met","Breached")</x:f>
        <x:v>Met</x:v>
      </x:c>
      <x:c r="W14" s="32" t="str">
        <x:f>IF(U14&lt;=S14,"Met","Breached")</x:f>
        <x:v>Met</x:v>
      </x:c>
      <x:c r="X14" s="32" t="str">
        <x:v>Cleared queue and restarted print spooler</x:v>
      </x:c>
      <x:c r="Y14" s="32" t="str">
        <x:v>Corrupt print job</x:v>
      </x:c>
      <x:c r="Z14" s="32" t="str">
        <x:v>KB-009</x:v>
      </x:c>
      <x:c r="AA14" s="75" t="n">
        <x:v>4</x:v>
      </x:c>
      <x:c r="AB14" s="32" t="str">
        <x:v>No</x:v>
      </x:c>
      <x:c r="AC14" s="32" t="str"/>
    </x:row>
    <x:row r="15">
      <x:c r="A15" s="32" t="str">
        <x:v>IT-2026-007</x:v>
      </x:c>
      <x:c r="B15" s="55" t="n">
        <x:v>46212.26736111111</x:v>
      </x:c>
      <x:c r="C15" s="32" t="str">
        <x:v>UE013</x:v>
      </x:c>
      <x:c r="D15" s="32" t="str">
        <x:f>IFERROR(VLOOKUP(C15,Employee_Master!$A$2:$N$31,2,FALSE),"")</x:f>
        <x:v>Demo Employee 13</x:v>
      </x:c>
      <x:c r="E15" s="32" t="str">
        <x:f>IFERROR(VLOOKUP(C15,Employee_Master!$A$2:$N$31,4,FALSE),"")</x:f>
        <x:v>Finance</x:v>
      </x:c>
      <x:c r="F15" s="32" t="str">
        <x:f>IFERROR(VLOOKUP(C15,Employee_Master!$A$2:$N$31,6,FALSE),"")</x:f>
        <x:v>Pooraka Head Office</x:v>
      </x:c>
      <x:c r="G15" s="32" t="str">
        <x:v>Email</x:v>
      </x:c>
      <x:c r="H15" s="32" t="str">
        <x:v>Cybersecurity</x:v>
      </x:c>
      <x:c r="I15" s="32" t="str">
        <x:v>Phishing</x:v>
      </x:c>
      <x:c r="J15" s="32" t="str">
        <x:v>Employee reported suspicious Microsoft 365 email</x:v>
      </x:c>
      <x:c r="K15" s="32" t="str">
        <x:v>High</x:v>
      </x:c>
      <x:c r="L15" s="32" t="str">
        <x:v>High</x:v>
      </x:c>
      <x:c r="M15" s="32" t="str">
        <x:f>IFERROR(INDEX(Helpdesk_Setup!$B$5:$D$7,MATCH(K15,Helpdesk_Setup!$A$5:$A$7,0),MATCH(L15,Helpdesk_Setup!$B$4:$D$4,0)),"")</x:f>
        <x:v>P1</x:v>
      </x:c>
      <x:c r="N15" s="32" t="str">
        <x:v>Resolved</x:v>
      </x:c>
      <x:c r="O15" s="32" t="str">
        <x:v>UE030</x:v>
      </x:c>
      <x:c r="P15" s="55" t="n">
        <x:v>46212.278819444444</x:v>
      </x:c>
      <x:c r="Q15" s="55" t="n">
        <x:v>46212.467361111114</x:v>
      </x:c>
      <x:c r="R15" s="74" t="n">
        <x:f>IFERROR(VLOOKUP(M15,Helpdesk_Setup!$F$5:$H$8,2,FALSE),"")</x:f>
        <x:v>0.25</x:v>
      </x:c>
      <x:c r="S15" s="74" t="n">
        <x:f>IFERROR(VLOOKUP(M15,Helpdesk_Setup!$F$5:$H$8,3,FALSE),"")</x:f>
        <x:v>4</x:v>
      </x:c>
      <x:c r="T15" s="74" t="n">
        <x:f>IF(P15="",(Helpdesk_Setup!$G$12-B15)*24,(P15-B15)*24)</x:f>
        <x:v>0.27500000002328306</x:v>
      </x:c>
      <x:c r="U15" s="74" t="n">
        <x:f>IF(Q15="",(Helpdesk_Setup!$G$12-B15)*24,(Q15-B15)*24)</x:f>
        <x:v>4.800000000104774</x:v>
      </x:c>
      <x:c r="V15" s="32" t="str">
        <x:f>IF(T15&lt;=R15,"Met","Breached")</x:f>
        <x:v>Breached</x:v>
      </x:c>
      <x:c r="W15" s="32" t="str">
        <x:f>IF(U15&lt;=S15,"Met","Breached")</x:f>
        <x:v>Breached</x:v>
      </x:c>
      <x:c r="X15" s="32" t="str">
        <x:v>Quarantined email, checked account activity and briefed user</x:v>
      </x:c>
      <x:c r="Y15" s="32" t="str">
        <x:v>Phishing attempt</x:v>
      </x:c>
      <x:c r="Z15" s="32" t="str">
        <x:v>KB-019</x:v>
      </x:c>
      <x:c r="AA15" s="75" t="n">
        <x:v>5</x:v>
      </x:c>
      <x:c r="AB15" s="32" t="str">
        <x:v>No</x:v>
      </x:c>
      <x:c r="AC15" s="32" t="str">
        <x:v>Security-related mock case; no real incident data is represented.</x:v>
      </x:c>
    </x:row>
    <x:row r="16">
      <x:c r="A16" s="32" t="str">
        <x:v>IT-2026-008</x:v>
      </x:c>
      <x:c r="B16" s="55" t="n">
        <x:v>46212.79583333333</x:v>
      </x:c>
      <x:c r="C16" s="32" t="str">
        <x:v>UE013</x:v>
      </x:c>
      <x:c r="D16" s="32" t="str">
        <x:f>IFERROR(VLOOKUP(C16,Employee_Master!$A$2:$N$31,2,FALSE),"")</x:f>
        <x:v>Demo Employee 13</x:v>
      </x:c>
      <x:c r="E16" s="32" t="str">
        <x:f>IFERROR(VLOOKUP(C16,Employee_Master!$A$2:$N$31,4,FALSE),"")</x:f>
        <x:v>Finance</x:v>
      </x:c>
      <x:c r="F16" s="32" t="str">
        <x:f>IFERROR(VLOOKUP(C16,Employee_Master!$A$2:$N$31,6,FALSE),"")</x:f>
        <x:v>Pooraka Head Office</x:v>
      </x:c>
      <x:c r="G16" s="32" t="str">
        <x:v>Form</x:v>
      </x:c>
      <x:c r="H16" s="32" t="str">
        <x:v>Access &amp; Permissions</x:v>
      </x:c>
      <x:c r="I16" s="32" t="str">
        <x:v>Project Folder</x:v>
      </x:c>
      <x:c r="J16" s="32" t="str">
        <x:v>Unable to access project drawings folder</x:v>
      </x:c>
      <x:c r="K16" s="32" t="str">
        <x:v>Medium</x:v>
      </x:c>
      <x:c r="L16" s="32" t="str">
        <x:v>High</x:v>
      </x:c>
      <x:c r="M16" s="32" t="str">
        <x:f>IFERROR(INDEX(Helpdesk_Setup!$B$5:$D$7,MATCH(K16,Helpdesk_Setup!$A$5:$A$7,0),MATCH(L16,Helpdesk_Setup!$B$4:$D$4,0)),"")</x:f>
        <x:v>P2</x:v>
      </x:c>
      <x:c r="N16" s="32" t="str">
        <x:v>Closed</x:v>
      </x:c>
      <x:c r="O16" s="32" t="str">
        <x:v>UE030</x:v>
      </x:c>
      <x:c r="P16" s="55" t="n">
        <x:v>46212.825</x:v>
      </x:c>
      <x:c r="Q16" s="55" t="n">
        <x:v>46212.94583333333</x:v>
      </x:c>
      <x:c r="R16" s="74" t="n">
        <x:f>IFERROR(VLOOKUP(M16,Helpdesk_Setup!$F$5:$H$8,2,FALSE),"")</x:f>
        <x:v>1</x:v>
      </x:c>
      <x:c r="S16" s="74" t="n">
        <x:f>IFERROR(VLOOKUP(M16,Helpdesk_Setup!$F$5:$H$8,3,FALSE),"")</x:f>
        <x:v>8</x:v>
      </x:c>
      <x:c r="T16" s="74" t="n">
        <x:f>IF(P16="",(Helpdesk_Setup!$G$12-B16)*24,(P16-B16)*24)</x:f>
        <x:v>0.7000000000116415</x:v>
      </x:c>
      <x:c r="U16" s="74" t="n">
        <x:f>IF(Q16="",(Helpdesk_Setup!$G$12-B16)*24,(Q16-B16)*24)</x:f>
        <x:v>3.6000000000349246</x:v>
      </x:c>
      <x:c r="V16" s="32" t="str">
        <x:f>IF(T16&lt;=R16,"Met","Breached")</x:f>
        <x:v>Met</x:v>
      </x:c>
      <x:c r="W16" s="32" t="str">
        <x:f>IF(U16&lt;=S16,"Met","Breached")</x:f>
        <x:v>Met</x:v>
      </x:c>
      <x:c r="X16" s="32" t="str">
        <x:v>Added user to approved SharePoint project group</x:v>
      </x:c>
      <x:c r="Y16" s="32" t="str">
        <x:v>Missing project-group membership</x:v>
      </x:c>
      <x:c r="Z16" s="32" t="str">
        <x:v>KB-024</x:v>
      </x:c>
      <x:c r="AA16" s="75" t="n">
        <x:v>5</x:v>
      </x:c>
      <x:c r="AB16" s="32" t="str">
        <x:v>No</x:v>
      </x:c>
      <x:c r="AC16" s="32" t="str">
        <x:v>Construction-workflow example using fictional project/support data.</x:v>
      </x:c>
    </x:row>
    <x:row r="17">
      <x:c r="A17" s="32" t="str">
        <x:v>IT-2026-009</x:v>
      </x:c>
      <x:c r="B17" s="55" t="n">
        <x:v>46212.881944444445</x:v>
      </x:c>
      <x:c r="C17" s="32" t="str">
        <x:v>UE009</x:v>
      </x:c>
      <x:c r="D17" s="32" t="str">
        <x:f>IFERROR(VLOOKUP(C17,Employee_Master!$A$2:$N$31,2,FALSE),"")</x:f>
        <x:v>Demo Employee 09</x:v>
      </x:c>
      <x:c r="E17" s="32" t="str">
        <x:f>IFERROR(VLOOKUP(C17,Employee_Master!$A$2:$N$31,4,FALSE),"")</x:f>
        <x:v>Sales</x:v>
      </x:c>
      <x:c r="F17" s="32" t="str">
        <x:f>IFERROR(VLOOKUP(C17,Employee_Master!$A$2:$N$31,6,FALSE),"")</x:f>
        <x:v>Pooraka Head Office</x:v>
      </x:c>
      <x:c r="G17" s="32" t="str">
        <x:v>Walk-up</x:v>
      </x:c>
      <x:c r="H17" s="32" t="str">
        <x:v>Software</x:v>
      </x:c>
      <x:c r="I17" s="32" t="str">
        <x:v>PDF</x:v>
      </x:c>
      <x:c r="J17" s="32" t="str">
        <x:v>Construction PDF drawings opening very slowly</x:v>
      </x:c>
      <x:c r="K17" s="32" t="str">
        <x:v>Low</x:v>
      </x:c>
      <x:c r="L17" s="32" t="str">
        <x:v>Low</x:v>
      </x:c>
      <x:c r="M17" s="32" t="str">
        <x:f>IFERROR(INDEX(Helpdesk_Setup!$B$5:$D$7,MATCH(K17,Helpdesk_Setup!$A$5:$A$7,0),MATCH(L17,Helpdesk_Setup!$B$4:$D$4,0)),"")</x:f>
        <x:v>P4</x:v>
      </x:c>
      <x:c r="N17" s="32" t="str">
        <x:v>Closed</x:v>
      </x:c>
      <x:c r="O17" s="32" t="str">
        <x:v>UE030</x:v>
      </x:c>
      <x:c r="P17" s="55" t="n">
        <x:v>46213.18194444444</x:v>
      </x:c>
      <x:c r="Q17" s="55" t="n">
        <x:v>46214.981944444444</x:v>
      </x:c>
      <x:c r="R17" s="74" t="n">
        <x:f>IFERROR(VLOOKUP(M17,Helpdesk_Setup!$F$5:$H$8,2,FALSE),"")</x:f>
        <x:v>8</x:v>
      </x:c>
      <x:c r="S17" s="74" t="n">
        <x:f>IFERROR(VLOOKUP(M17,Helpdesk_Setup!$F$5:$H$8,3,FALSE),"")</x:f>
        <x:v>72</x:v>
      </x:c>
      <x:c r="T17" s="74" t="n">
        <x:f>IF(P17="",(Helpdesk_Setup!$G$12-B17)*24,(P17-B17)*24)</x:f>
        <x:v>7.199999999895226</x:v>
      </x:c>
      <x:c r="U17" s="74" t="n">
        <x:f>IF(Q17="",(Helpdesk_Setup!$G$12-B17)*24,(Q17-B17)*24)</x:f>
        <x:v>50.399999999965075</x:v>
      </x:c>
      <x:c r="V17" s="32" t="str">
        <x:f>IF(T17&lt;=R17,"Met","Breached")</x:f>
        <x:v>Met</x:v>
      </x:c>
      <x:c r="W17" s="32" t="str">
        <x:f>IF(U17&lt;=S17,"Met","Breached")</x:f>
        <x:v>Met</x:v>
      </x:c>
      <x:c r="X17" s="32" t="str">
        <x:v>Updated PDF reader and cleared application cache</x:v>
      </x:c>
      <x:c r="Y17" s="32" t="str">
        <x:v>Outdated PDF application</x:v>
      </x:c>
      <x:c r="Z17" s="32" t="str">
        <x:v>KB-014</x:v>
      </x:c>
      <x:c r="AA17" s="75" t="n">
        <x:v>5</x:v>
      </x:c>
      <x:c r="AB17" s="32" t="str">
        <x:v>No</x:v>
      </x:c>
      <x:c r="AC17" s="32" t="str"/>
    </x:row>
    <x:row r="18">
      <x:c r="A18" s="32" t="str">
        <x:v>IT-2026-010</x:v>
      </x:c>
      <x:c r="B18" s="55" t="n">
        <x:v>46213.15694444445</x:v>
      </x:c>
      <x:c r="C18" s="32" t="str">
        <x:v>UE017</x:v>
      </x:c>
      <x:c r="D18" s="32" t="str">
        <x:f>IFERROR(VLOOKUP(C18,Employee_Master!$A$2:$N$31,2,FALSE),"")</x:f>
        <x:v>Demo Employee 17</x:v>
      </x:c>
      <x:c r="E18" s="32" t="str">
        <x:f>IFERROR(VLOOKUP(C18,Employee_Master!$A$2:$N$31,4,FALSE),"")</x:f>
        <x:v>Estimating &amp; Planning</x:v>
      </x:c>
      <x:c r="F18" s="32" t="str">
        <x:f>IFERROR(VLOOKUP(C18,Employee_Master!$A$2:$N$31,6,FALSE),"")</x:f>
        <x:v>Pooraka Head Office</x:v>
      </x:c>
      <x:c r="G18" s="32" t="str">
        <x:v>Teams</x:v>
      </x:c>
      <x:c r="H18" s="32" t="str">
        <x:v>Network &amp; Wi-Fi</x:v>
      </x:c>
      <x:c r="I18" s="32" t="str">
        <x:v>Internet</x:v>
      </x:c>
      <x:c r="J18" s="32" t="str">
        <x:v>Poor internet connectivity at project site</x:v>
      </x:c>
      <x:c r="K18" s="32" t="str">
        <x:v>Medium</x:v>
      </x:c>
      <x:c r="L18" s="32" t="str">
        <x:v>Medium</x:v>
      </x:c>
      <x:c r="M18" s="32" t="str">
        <x:f>IFERROR(INDEX(Helpdesk_Setup!$B$5:$D$7,MATCH(K18,Helpdesk_Setup!$A$5:$A$7,0),MATCH(L18,Helpdesk_Setup!$B$4:$D$4,0)),"")</x:f>
        <x:v>P3</x:v>
      </x:c>
      <x:c r="N18" s="32" t="str">
        <x:v>Closed</x:v>
      </x:c>
      <x:c r="O18" s="32" t="str">
        <x:v>UE030</x:v>
      </x:c>
      <x:c r="P18" s="55" t="n">
        <x:v>46213.240277777775</x:v>
      </x:c>
      <x:c r="Q18" s="55" t="n">
        <x:v>46214.356944444444</x:v>
      </x:c>
      <x:c r="R18" s="74" t="n">
        <x:f>IFERROR(VLOOKUP(M18,Helpdesk_Setup!$F$5:$H$8,2,FALSE),"")</x:f>
        <x:v>4</x:v>
      </x:c>
      <x:c r="S18" s="74" t="n">
        <x:f>IFERROR(VLOOKUP(M18,Helpdesk_Setup!$F$5:$H$8,3,FALSE),"")</x:f>
        <x:v>24</x:v>
      </x:c>
      <x:c r="T18" s="74" t="n">
        <x:f>IF(P18="",(Helpdesk_Setup!$G$12-B18)*24,(P18-B18)*24)</x:f>
        <x:v>1.9999999998835847</x:v>
      </x:c>
      <x:c r="U18" s="74" t="n">
        <x:f>IF(Q18="",(Helpdesk_Setup!$G$12-B18)*24,(Q18-B18)*24)</x:f>
        <x:v>28.79999999993015</x:v>
      </x:c>
      <x:c r="V18" s="32" t="str">
        <x:f>IF(T18&lt;=R18,"Met","Breached")</x:f>
        <x:v>Met</x:v>
      </x:c>
      <x:c r="W18" s="32" t="str">
        <x:f>IF(U18&lt;=S18,"Met","Breached")</x:f>
        <x:v>Breached</x:v>
      </x:c>
      <x:c r="X18" s="32" t="str">
        <x:v>Switched to approved backup hotspot and escalated carrier issue</x:v>
      </x:c>
      <x:c r="Y18" s="32" t="str">
        <x:v>Mobile coverage / hotspot issue</x:v>
      </x:c>
      <x:c r="Z18" s="32" t="str">
        <x:v>KB-017</x:v>
      </x:c>
      <x:c r="AA18" s="75" t="n">
        <x:v>5</x:v>
      </x:c>
      <x:c r="AB18" s="32" t="str">
        <x:v>No</x:v>
      </x:c>
      <x:c r="AC18" s="32" t="str">
        <x:v>Construction-workflow example using fictional project/support data.</x:v>
      </x:c>
    </x:row>
    <x:row r="19">
      <x:c r="A19" s="32" t="str">
        <x:v>IT-2026-011</x:v>
      </x:c>
      <x:c r="B19" s="55" t="n">
        <x:v>46213.65694444445</x:v>
      </x:c>
      <x:c r="C19" s="32" t="str">
        <x:v>UE020</x:v>
      </x:c>
      <x:c r="D19" s="32" t="str">
        <x:f>IFERROR(VLOOKUP(C19,Employee_Master!$A$2:$N$31,2,FALSE),"")</x:f>
        <x:v>Demo Employee 20</x:v>
      </x:c>
      <x:c r="E19" s="32" t="str">
        <x:f>IFERROR(VLOOKUP(C19,Employee_Master!$A$2:$N$31,4,FALSE),"")</x:f>
        <x:v>Construction &amp; Project Management</x:v>
      </x:c>
      <x:c r="F19" s="32" t="str">
        <x:f>IFERROR(VLOOKUP(C19,Employee_Master!$A$2:$N$31,6,FALSE),"")</x:f>
        <x:v>Pooraka Head Office</x:v>
      </x:c>
      <x:c r="G19" s="32" t="str">
        <x:v>Email</x:v>
      </x:c>
      <x:c r="H19" s="32" t="str">
        <x:v>Cybersecurity</x:v>
      </x:c>
      <x:c r="I19" s="32" t="str">
        <x:v>Device</x:v>
      </x:c>
      <x:c r="J19" s="32" t="str">
        <x:v>Defender reports potentially unwanted application</x:v>
      </x:c>
      <x:c r="K19" s="32" t="str">
        <x:v>High</x:v>
      </x:c>
      <x:c r="L19" s="32" t="str">
        <x:v>Medium</x:v>
      </x:c>
      <x:c r="M19" s="32" t="str">
        <x:f>IFERROR(INDEX(Helpdesk_Setup!$B$5:$D$7,MATCH(K19,Helpdesk_Setup!$A$5:$A$7,0),MATCH(L19,Helpdesk_Setup!$B$4:$D$4,0)),"")</x:f>
        <x:v>P2</x:v>
      </x:c>
      <x:c r="N19" s="32" t="str">
        <x:v>Closed</x:v>
      </x:c>
      <x:c r="O19" s="32" t="str">
        <x:v>UE030</x:v>
      </x:c>
      <x:c r="P19" s="55" t="n">
        <x:v>46213.694444444445</x:v>
      </x:c>
      <x:c r="Q19" s="55" t="n">
        <x:v>46214.006944444445</x:v>
      </x:c>
      <x:c r="R19" s="74" t="n">
        <x:f>IFERROR(VLOOKUP(M19,Helpdesk_Setup!$F$5:$H$8,2,FALSE),"")</x:f>
        <x:v>1</x:v>
      </x:c>
      <x:c r="S19" s="74" t="n">
        <x:f>IFERROR(VLOOKUP(M19,Helpdesk_Setup!$F$5:$H$8,3,FALSE),"")</x:f>
        <x:v>8</x:v>
      </x:c>
      <x:c r="T19" s="74" t="n">
        <x:f>IF(P19="",(Helpdesk_Setup!$G$12-B19)*24,(P19-B19)*24)</x:f>
        <x:v>0.8999999999650754</x:v>
      </x:c>
      <x:c r="U19" s="74" t="n">
        <x:f>IF(Q19="",(Helpdesk_Setup!$G$12-B19)*24,(Q19-B19)*24)</x:f>
        <x:v>8.399999999965075</x:v>
      </x:c>
      <x:c r="V19" s="32" t="str">
        <x:f>IF(T19&lt;=R19,"Met","Breached")</x:f>
        <x:v>Met</x:v>
      </x:c>
      <x:c r="W19" s="32" t="str">
        <x:f>IF(U19&lt;=S19,"Met","Breached")</x:f>
        <x:v>Breached</x:v>
      </x:c>
      <x:c r="X19" s="32" t="str">
        <x:v>Removed application and completed Defender scan</x:v>
      </x:c>
      <x:c r="Y19" s="32" t="str">
        <x:v>Unapproved browser utility</x:v>
      </x:c>
      <x:c r="Z19" s="32" t="str">
        <x:v>KB-020</x:v>
      </x:c>
      <x:c r="AA19" s="75" t="n">
        <x:v>5</x:v>
      </x:c>
      <x:c r="AB19" s="32" t="str">
        <x:v>No</x:v>
      </x:c>
      <x:c r="AC19" s="32" t="str">
        <x:v>Security-related mock case; no real incident data is represented.</x:v>
      </x:c>
    </x:row>
    <x:row r="20">
      <x:c r="A20" s="32" t="str">
        <x:v>IT-2026-012</x:v>
      </x:c>
      <x:c r="B20" s="55" t="n">
        <x:v>46213.683333333334</x:v>
      </x:c>
      <x:c r="C20" s="32" t="str">
        <x:v>UE001</x:v>
      </x:c>
      <x:c r="D20" s="32" t="str">
        <x:f>IFERROR(VLOOKUP(C20,Employee_Master!$A$2:$N$31,2,FALSE),"")</x:f>
        <x:v>Demo Employee 01</x:v>
      </x:c>
      <x:c r="E20" s="32" t="str">
        <x:f>IFERROR(VLOOKUP(C20,Employee_Master!$A$2:$N$31,4,FALSE),"")</x:f>
        <x:v>Management</x:v>
      </x:c>
      <x:c r="F20" s="32" t="str">
        <x:f>IFERROR(VLOOKUP(C20,Employee_Master!$A$2:$N$31,6,FALSE),"")</x:f>
        <x:v>Pooraka Head Office</x:v>
      </x:c>
      <x:c r="G20" s="32" t="str">
        <x:v>Teams</x:v>
      </x:c>
      <x:c r="H20" s="32" t="str">
        <x:v>Access &amp; Permissions</x:v>
      </x:c>
      <x:c r="I20" s="32" t="str">
        <x:v>MFA</x:v>
      </x:c>
      <x:c r="J20" s="32" t="str">
        <x:v>MFA prompt cannot be completed</x:v>
      </x:c>
      <x:c r="K20" s="32" t="str">
        <x:v>Medium</x:v>
      </x:c>
      <x:c r="L20" s="32" t="str">
        <x:v>Medium</x:v>
      </x:c>
      <x:c r="M20" s="32" t="str">
        <x:f>IFERROR(INDEX(Helpdesk_Setup!$B$5:$D$7,MATCH(K20,Helpdesk_Setup!$A$5:$A$7,0),MATCH(L20,Helpdesk_Setup!$B$4:$D$4,0)),"")</x:f>
        <x:v>P3</x:v>
      </x:c>
      <x:c r="N20" s="32" t="str">
        <x:v>Closed</x:v>
      </x:c>
      <x:c r="O20" s="32" t="str">
        <x:v>UE030</x:v>
      </x:c>
      <x:c r="P20" s="55" t="n">
        <x:v>46213.86666666667</x:v>
      </x:c>
      <x:c r="Q20" s="55" t="n">
        <x:v>46215.28333333333</x:v>
      </x:c>
      <x:c r="R20" s="74" t="n">
        <x:f>IFERROR(VLOOKUP(M20,Helpdesk_Setup!$F$5:$H$8,2,FALSE),"")</x:f>
        <x:v>4</x:v>
      </x:c>
      <x:c r="S20" s="74" t="n">
        <x:f>IFERROR(VLOOKUP(M20,Helpdesk_Setup!$F$5:$H$8,3,FALSE),"")</x:f>
        <x:v>24</x:v>
      </x:c>
      <x:c r="T20" s="74" t="n">
        <x:f>IF(P20="",(Helpdesk_Setup!$G$12-B20)*24,(P20-B20)*24)</x:f>
        <x:v>4.400000000023283</x:v>
      </x:c>
      <x:c r="U20" s="74" t="n">
        <x:f>IF(Q20="",(Helpdesk_Setup!$G$12-B20)*24,(Q20-B20)*24)</x:f>
        <x:v>38.399999999965075</x:v>
      </x:c>
      <x:c r="V20" s="32" t="str">
        <x:f>IF(T20&lt;=R20,"Met","Breached")</x:f>
        <x:v>Breached</x:v>
      </x:c>
      <x:c r="W20" s="32" t="str">
        <x:f>IF(U20&lt;=S20,"Met","Breached")</x:f>
        <x:v>Breached</x:v>
      </x:c>
      <x:c r="X20" s="32" t="str">
        <x:v>Re-registered Microsoft Authenticator</x:v>
      </x:c>
      <x:c r="Y20" s="32" t="str">
        <x:v>Old authenticator registration</x:v>
      </x:c>
      <x:c r="Z20" s="32" t="str">
        <x:v>KB-008</x:v>
      </x:c>
      <x:c r="AA20" s="75" t="n">
        <x:v>5</x:v>
      </x:c>
      <x:c r="AB20" s="32" t="str">
        <x:v>No</x:v>
      </x:c>
      <x:c r="AC20" s="32" t="str"/>
    </x:row>
    <x:row r="21">
      <x:c r="A21" s="32" t="str">
        <x:v>IT-2026-013</x:v>
      </x:c>
      <x:c r="B21" s="55" t="n">
        <x:v>46214.4875</x:v>
      </x:c>
      <x:c r="C21" s="32" t="str">
        <x:v>UE004</x:v>
      </x:c>
      <x:c r="D21" s="32" t="str">
        <x:f>IFERROR(VLOOKUP(C21,Employee_Master!$A$2:$N$31,2,FALSE),"")</x:f>
        <x:v>Demo Employee 04</x:v>
      </x:c>
      <x:c r="E21" s="32" t="str">
        <x:f>IFERROR(VLOOKUP(C21,Employee_Master!$A$2:$N$31,4,FALSE),"")</x:f>
        <x:v>Administration</x:v>
      </x:c>
      <x:c r="F21" s="32" t="str">
        <x:f>IFERROR(VLOOKUP(C21,Employee_Master!$A$2:$N$31,6,FALSE),"")</x:f>
        <x:v>Pooraka Head Office</x:v>
      </x:c>
      <x:c r="G21" s="32" t="str">
        <x:v>Email</x:v>
      </x:c>
      <x:c r="H21" s="32" t="str">
        <x:v>Software</x:v>
      </x:c>
      <x:c r="I21" s="32" t="str">
        <x:v>Installation</x:v>
      </x:c>
      <x:c r="J21" s="32" t="str">
        <x:v>Approved software installation requested</x:v>
      </x:c>
      <x:c r="K21" s="32" t="str">
        <x:v>Medium</x:v>
      </x:c>
      <x:c r="L21" s="32" t="str">
        <x:v>Low</x:v>
      </x:c>
      <x:c r="M21" s="32" t="str">
        <x:f>IFERROR(INDEX(Helpdesk_Setup!$B$5:$D$7,MATCH(K21,Helpdesk_Setup!$A$5:$A$7,0),MATCH(L21,Helpdesk_Setup!$B$4:$D$4,0)),"")</x:f>
        <x:v>P4</x:v>
      </x:c>
      <x:c r="N21" s="32" t="str">
        <x:v>Closed</x:v>
      </x:c>
      <x:c r="O21" s="32" t="str">
        <x:v>UE030</x:v>
      </x:c>
      <x:c r="P21" s="55" t="n">
        <x:v>46214.95416666667</x:v>
      </x:c>
      <x:c r="Q21" s="55" t="n">
        <x:v>46218.0875</x:v>
      </x:c>
      <x:c r="R21" s="74" t="n">
        <x:f>IFERROR(VLOOKUP(M21,Helpdesk_Setup!$F$5:$H$8,2,FALSE),"")</x:f>
        <x:v>8</x:v>
      </x:c>
      <x:c r="S21" s="74" t="n">
        <x:f>IFERROR(VLOOKUP(M21,Helpdesk_Setup!$F$5:$H$8,3,FALSE),"")</x:f>
        <x:v>72</x:v>
      </x:c>
      <x:c r="T21" s="74" t="n">
        <x:f>IF(P21="",(Helpdesk_Setup!$G$12-B21)*24,(P21-B21)*24)</x:f>
        <x:v>11.200000000011642</x:v>
      </x:c>
      <x:c r="U21" s="74" t="n">
        <x:f>IF(Q21="",(Helpdesk_Setup!$G$12-B21)*24,(Q21-B21)*24)</x:f>
        <x:v>86.39999999996508</x:v>
      </x:c>
      <x:c r="V21" s="32" t="str">
        <x:f>IF(T21&lt;=R21,"Met","Breached")</x:f>
        <x:v>Breached</x:v>
      </x:c>
      <x:c r="W21" s="32" t="str">
        <x:f>IF(U21&lt;=S21,"Met","Breached")</x:f>
        <x:v>Breached</x:v>
      </x:c>
      <x:c r="X21" s="32" t="str">
        <x:v>Installed approved software and documented licence allocation</x:v>
      </x:c>
      <x:c r="Y21" s="32" t="str">
        <x:v>Application not installed</x:v>
      </x:c>
      <x:c r="Z21" s="32" t="str">
        <x:v>KB-015</x:v>
      </x:c>
      <x:c r="AA21" s="75" t="n">
        <x:v>5</x:v>
      </x:c>
      <x:c r="AB21" s="32" t="str">
        <x:v>No</x:v>
      </x:c>
      <x:c r="AC21" s="32" t="str"/>
    </x:row>
    <x:row r="22">
      <x:c r="A22" s="32" t="str">
        <x:v>IT-2026-014</x:v>
      </x:c>
      <x:c r="B22" s="55" t="n">
        <x:v>46217.05486111111</x:v>
      </x:c>
      <x:c r="C22" s="32" t="str">
        <x:v>UE006</x:v>
      </x:c>
      <x:c r="D22" s="32" t="str">
        <x:f>IFERROR(VLOOKUP(C22,Employee_Master!$A$2:$N$31,2,FALSE),"")</x:f>
        <x:v>Demo Employee 06</x:v>
      </x:c>
      <x:c r="E22" s="32" t="str">
        <x:f>IFERROR(VLOOKUP(C22,Employee_Master!$A$2:$N$31,4,FALSE),"")</x:f>
        <x:v>Administration</x:v>
      </x:c>
      <x:c r="F22" s="32" t="str">
        <x:f>IFERROR(VLOOKUP(C22,Employee_Master!$A$2:$N$31,6,FALSE),"")</x:f>
        <x:v>Pooraka Head Office</x:v>
      </x:c>
      <x:c r="G22" s="32" t="str">
        <x:v>Teams</x:v>
      </x:c>
      <x:c r="H22" s="32" t="str">
        <x:v>Mobile Device</x:v>
      </x:c>
      <x:c r="I22" s="32" t="str">
        <x:v>Email</x:v>
      </x:c>
      <x:c r="J22" s="32" t="str">
        <x:v>Company phone not receiving Outlook email</x:v>
      </x:c>
      <x:c r="K22" s="32" t="str">
        <x:v>Medium</x:v>
      </x:c>
      <x:c r="L22" s="32" t="str">
        <x:v>Medium</x:v>
      </x:c>
      <x:c r="M22" s="32" t="str">
        <x:f>IFERROR(INDEX(Helpdesk_Setup!$B$5:$D$7,MATCH(K22,Helpdesk_Setup!$A$5:$A$7,0),MATCH(L22,Helpdesk_Setup!$B$4:$D$4,0)),"")</x:f>
        <x:v>P3</x:v>
      </x:c>
      <x:c r="N22" s="32" t="str">
        <x:v>Closed</x:v>
      </x:c>
      <x:c r="O22" s="32" t="str">
        <x:v>UE030</x:v>
      </x:c>
      <x:c r="P22" s="55" t="n">
        <x:v>46217.17152777778</x:v>
      </x:c>
      <x:c r="Q22" s="55" t="n">
        <x:v>46218.654861111114</x:v>
      </x:c>
      <x:c r="R22" s="74" t="n">
        <x:f>IFERROR(VLOOKUP(M22,Helpdesk_Setup!$F$5:$H$8,2,FALSE),"")</x:f>
        <x:v>4</x:v>
      </x:c>
      <x:c r="S22" s="74" t="n">
        <x:f>IFERROR(VLOOKUP(M22,Helpdesk_Setup!$F$5:$H$8,3,FALSE),"")</x:f>
        <x:v>24</x:v>
      </x:c>
      <x:c r="T22" s="74" t="n">
        <x:f>IF(P22="",(Helpdesk_Setup!$G$12-B22)*24,(P22-B22)*24)</x:f>
        <x:v>2.800000000046566</x:v>
      </x:c>
      <x:c r="U22" s="74" t="n">
        <x:f>IF(Q22="",(Helpdesk_Setup!$G$12-B22)*24,(Q22-B22)*24)</x:f>
        <x:v>38.4000000001397</x:v>
      </x:c>
      <x:c r="V22" s="32" t="str">
        <x:f>IF(T22&lt;=R22,"Met","Breached")</x:f>
        <x:v>Met</x:v>
      </x:c>
      <x:c r="W22" s="32" t="str">
        <x:f>IF(U22&lt;=S22,"Met","Breached")</x:f>
        <x:v>Breached</x:v>
      </x:c>
      <x:c r="X22" s="32" t="str">
        <x:v>Re-authenticated Outlook mobile account</x:v>
      </x:c>
      <x:c r="Y22" s="32" t="str">
        <x:v>Expired mobile sign-in token</x:v>
      </x:c>
      <x:c r="Z22" s="32" t="str">
        <x:v>KB-022</x:v>
      </x:c>
      <x:c r="AA22" s="75" t="n">
        <x:v>4</x:v>
      </x:c>
      <x:c r="AB22" s="32" t="str">
        <x:v>No</x:v>
      </x:c>
      <x:c r="AC22" s="32" t="str"/>
    </x:row>
    <x:row r="23">
      <x:c r="A23" s="32" t="str">
        <x:v>IT-2026-015</x:v>
      </x:c>
      <x:c r="B23" s="55" t="n">
        <x:v>46218.50625</x:v>
      </x:c>
      <x:c r="C23" s="32" t="str">
        <x:v>UE005</x:v>
      </x:c>
      <x:c r="D23" s="32" t="str">
        <x:f>IFERROR(VLOOKUP(C23,Employee_Master!$A$2:$N$31,2,FALSE),"")</x:f>
        <x:v>Demo Employee 05</x:v>
      </x:c>
      <x:c r="E23" s="32" t="str">
        <x:f>IFERROR(VLOOKUP(C23,Employee_Master!$A$2:$N$31,4,FALSE),"")</x:f>
        <x:v>Administration</x:v>
      </x:c>
      <x:c r="F23" s="32" t="str">
        <x:f>IFERROR(VLOOKUP(C23,Employee_Master!$A$2:$N$31,6,FALSE),"")</x:f>
        <x:v>Pooraka Head Office</x:v>
      </x:c>
      <x:c r="G23" s="32" t="str">
        <x:v>Phone</x:v>
      </x:c>
      <x:c r="H23" s="32" t="str">
        <x:v>Microsoft 365</x:v>
      </x:c>
      <x:c r="I23" s="32" t="str">
        <x:v>Teams</x:v>
      </x:c>
      <x:c r="J23" s="32" t="str">
        <x:v>Teams microphone not detected</x:v>
      </x:c>
      <x:c r="K23" s="32" t="str">
        <x:v>Medium</x:v>
      </x:c>
      <x:c r="L23" s="32" t="str">
        <x:v>Low</x:v>
      </x:c>
      <x:c r="M23" s="32" t="str">
        <x:f>IFERROR(INDEX(Helpdesk_Setup!$B$5:$D$7,MATCH(K23,Helpdesk_Setup!$A$5:$A$7,0),MATCH(L23,Helpdesk_Setup!$B$4:$D$4,0)),"")</x:f>
        <x:v>P4</x:v>
      </x:c>
      <x:c r="N23" s="32" t="str">
        <x:v>Closed</x:v>
      </x:c>
      <x:c r="O23" s="32" t="str">
        <x:v>UE030</x:v>
      </x:c>
      <x:c r="P23" s="55" t="n">
        <x:v>46218.87291666667</x:v>
      </x:c>
      <x:c r="Q23" s="55" t="n">
        <x:v>46219.25625</x:v>
      </x:c>
      <x:c r="R23" s="74" t="n">
        <x:f>IFERROR(VLOOKUP(M23,Helpdesk_Setup!$F$5:$H$8,2,FALSE),"")</x:f>
        <x:v>8</x:v>
      </x:c>
      <x:c r="S23" s="74" t="n">
        <x:f>IFERROR(VLOOKUP(M23,Helpdesk_Setup!$F$5:$H$8,3,FALSE),"")</x:f>
        <x:v>72</x:v>
      </x:c>
      <x:c r="T23" s="74" t="n">
        <x:f>IF(P23="",(Helpdesk_Setup!$G$12-B23)*24,(P23-B23)*24)</x:f>
        <x:v>8.800000000046566</x:v>
      </x:c>
      <x:c r="U23" s="74" t="n">
        <x:f>IF(Q23="",(Helpdesk_Setup!$G$12-B23)*24,(Q23-B23)*24)</x:f>
        <x:v>18</x:v>
      </x:c>
      <x:c r="V23" s="32" t="str">
        <x:f>IF(T23&lt;=R23,"Met","Breached")</x:f>
        <x:v>Breached</x:v>
      </x:c>
      <x:c r="W23" s="32" t="str">
        <x:f>IF(U23&lt;=S23,"Met","Breached")</x:f>
        <x:v>Met</x:v>
      </x:c>
      <x:c r="X23" s="32" t="str">
        <x:v>Selected correct Windows audio input and restarted Teams</x:v>
      </x:c>
      <x:c r="Y23" s="32" t="str">
        <x:v>Incorrect audio device</x:v>
      </x:c>
      <x:c r="Z23" s="32" t="str">
        <x:v>KB-003</x:v>
      </x:c>
      <x:c r="AA23" s="75" t="n">
        <x:v>4</x:v>
      </x:c>
      <x:c r="AB23" s="32" t="str">
        <x:v>No</x:v>
      </x:c>
      <x:c r="AC23" s="32" t="str"/>
    </x:row>
    <x:row r="24">
      <x:c r="A24" s="32" t="str">
        <x:v>IT-2026-016</x:v>
      </x:c>
      <x:c r="B24" s="55" t="n">
        <x:v>46218.88611111111</x:v>
      </x:c>
      <x:c r="C24" s="32" t="str">
        <x:v>UE004</x:v>
      </x:c>
      <x:c r="D24" s="32" t="str">
        <x:f>IFERROR(VLOOKUP(C24,Employee_Master!$A$2:$N$31,2,FALSE),"")</x:f>
        <x:v>Demo Employee 04</x:v>
      </x:c>
      <x:c r="E24" s="32" t="str">
        <x:f>IFERROR(VLOOKUP(C24,Employee_Master!$A$2:$N$31,4,FALSE),"")</x:f>
        <x:v>Administration</x:v>
      </x:c>
      <x:c r="F24" s="32" t="str">
        <x:f>IFERROR(VLOOKUP(C24,Employee_Master!$A$2:$N$31,6,FALSE),"")</x:f>
        <x:v>Pooraka Head Office</x:v>
      </x:c>
      <x:c r="G24" s="32" t="str">
        <x:v>Form</x:v>
      </x:c>
      <x:c r="H24" s="32" t="str">
        <x:v>Hardware</x:v>
      </x:c>
      <x:c r="I24" s="32" t="str">
        <x:v>Docking Station</x:v>
      </x:c>
      <x:c r="J24" s="32" t="str">
        <x:v>External monitors not detected</x:v>
      </x:c>
      <x:c r="K24" s="32" t="str">
        <x:v>Low</x:v>
      </x:c>
      <x:c r="L24" s="32" t="str">
        <x:v>Medium</x:v>
      </x:c>
      <x:c r="M24" s="32" t="str">
        <x:f>IFERROR(INDEX(Helpdesk_Setup!$B$5:$D$7,MATCH(K24,Helpdesk_Setup!$A$5:$A$7,0),MATCH(L24,Helpdesk_Setup!$B$4:$D$4,0)),"")</x:f>
        <x:v>P4</x:v>
      </x:c>
      <x:c r="N24" s="32" t="str">
        <x:v>Closed</x:v>
      </x:c>
      <x:c r="O24" s="32" t="str">
        <x:v>UE030</x:v>
      </x:c>
      <x:c r="P24" s="55" t="n">
        <x:v>46219.052777777775</x:v>
      </x:c>
      <x:c r="Q24" s="55" t="n">
        <x:v>46222.03611111111</x:v>
      </x:c>
      <x:c r="R24" s="74" t="n">
        <x:f>IFERROR(VLOOKUP(M24,Helpdesk_Setup!$F$5:$H$8,2,FALSE),"")</x:f>
        <x:v>8</x:v>
      </x:c>
      <x:c r="S24" s="74" t="n">
        <x:f>IFERROR(VLOOKUP(M24,Helpdesk_Setup!$F$5:$H$8,3,FALSE),"")</x:f>
        <x:v>72</x:v>
      </x:c>
      <x:c r="T24" s="74" t="n">
        <x:f>IF(P24="",(Helpdesk_Setup!$G$12-B24)*24,(P24-B24)*24)</x:f>
        <x:v>3.9999999999417923</x:v>
      </x:c>
      <x:c r="U24" s="74" t="n">
        <x:f>IF(Q24="",(Helpdesk_Setup!$G$12-B24)*24,(Q24-B24)*24)</x:f>
        <x:v>75.60000000003492</x:v>
      </x:c>
      <x:c r="V24" s="32" t="str">
        <x:f>IF(T24&lt;=R24,"Met","Breached")</x:f>
        <x:v>Met</x:v>
      </x:c>
      <x:c r="W24" s="32" t="str">
        <x:f>IF(U24&lt;=S24,"Met","Breached")</x:f>
        <x:v>Breached</x:v>
      </x:c>
      <x:c r="X24" s="32" t="str">
        <x:v>Updated dock firmware and reseated USB-C connection</x:v>
      </x:c>
      <x:c r="Y24" s="32" t="str">
        <x:v>Dock firmware / cable issue</x:v>
      </x:c>
      <x:c r="Z24" s="32" t="str">
        <x:v>KB-012</x:v>
      </x:c>
      <x:c r="AA24" s="75" t="n">
        <x:v>3</x:v>
      </x:c>
      <x:c r="AB24" s="32" t="str">
        <x:v>No</x:v>
      </x:c>
      <x:c r="AC24" s="32" t="str"/>
    </x:row>
    <x:row r="25">
      <x:c r="A25" s="32" t="str">
        <x:v>IT-2026-017</x:v>
      </x:c>
      <x:c r="B25" s="55" t="n">
        <x:v>46222.45277777778</x:v>
      </x:c>
      <x:c r="C25" s="32" t="str">
        <x:v>UE016</x:v>
      </x:c>
      <x:c r="D25" s="32" t="str">
        <x:f>IFERROR(VLOOKUP(C25,Employee_Master!$A$2:$N$31,2,FALSE),"")</x:f>
        <x:v>Demo Employee 16</x:v>
      </x:c>
      <x:c r="E25" s="32" t="str">
        <x:f>IFERROR(VLOOKUP(C25,Employee_Master!$A$2:$N$31,4,FALSE),"")</x:f>
        <x:v>Estimating &amp; Planning</x:v>
      </x:c>
      <x:c r="F25" s="32" t="str">
        <x:f>IFERROR(VLOOKUP(C25,Employee_Master!$A$2:$N$31,6,FALSE),"")</x:f>
        <x:v>Pooraka Head Office</x:v>
      </x:c>
      <x:c r="G25" s="32" t="str">
        <x:v>Form</x:v>
      </x:c>
      <x:c r="H25" s="32" t="str">
        <x:v>Printer &amp; Scanner</x:v>
      </x:c>
      <x:c r="I25" s="32" t="str">
        <x:v>Scanner</x:v>
      </x:c>
      <x:c r="J25" s="32" t="str">
        <x:v>Scanned documents not saving to shared folder</x:v>
      </x:c>
      <x:c r="K25" s="32" t="str">
        <x:v>High</x:v>
      </x:c>
      <x:c r="L25" s="32" t="str">
        <x:v>Low</x:v>
      </x:c>
      <x:c r="M25" s="32" t="str">
        <x:f>IFERROR(INDEX(Helpdesk_Setup!$B$5:$D$7,MATCH(K25,Helpdesk_Setup!$A$5:$A$7,0),MATCH(L25,Helpdesk_Setup!$B$4:$D$4,0)),"")</x:f>
        <x:v>P3</x:v>
      </x:c>
      <x:c r="N25" s="32" t="str">
        <x:v>Closed</x:v>
      </x:c>
      <x:c r="O25" s="32" t="str">
        <x:v>UE030</x:v>
      </x:c>
      <x:c r="P25" s="55" t="n">
        <x:v>46222.53611111111</x:v>
      </x:c>
      <x:c r="Q25" s="55" t="n">
        <x:v>46223.65277777778</x:v>
      </x:c>
      <x:c r="R25" s="74" t="n">
        <x:f>IFERROR(VLOOKUP(M25,Helpdesk_Setup!$F$5:$H$8,2,FALSE),"")</x:f>
        <x:v>4</x:v>
      </x:c>
      <x:c r="S25" s="74" t="n">
        <x:f>IFERROR(VLOOKUP(M25,Helpdesk_Setup!$F$5:$H$8,3,FALSE),"")</x:f>
        <x:v>24</x:v>
      </x:c>
      <x:c r="T25" s="74" t="n">
        <x:f>IF(P25="",(Helpdesk_Setup!$G$12-B25)*24,(P25-B25)*24)</x:f>
        <x:v>2.0000000000582077</x:v>
      </x:c>
      <x:c r="U25" s="74" t="n">
        <x:f>IF(Q25="",(Helpdesk_Setup!$G$12-B25)*24,(Q25-B25)*24)</x:f>
        <x:v>28.800000000104774</x:v>
      </x:c>
      <x:c r="V25" s="32" t="str">
        <x:f>IF(T25&lt;=R25,"Met","Breached")</x:f>
        <x:v>Met</x:v>
      </x:c>
      <x:c r="W25" s="32" t="str">
        <x:f>IF(U25&lt;=S25,"Met","Breached")</x:f>
        <x:v>Breached</x:v>
      </x:c>
      <x:c r="X25" s="32" t="str">
        <x:v>Re-mapped approved scan destination</x:v>
      </x:c>
      <x:c r="Y25" s="32" t="str">
        <x:v>Folder mapping lost</x:v>
      </x:c>
      <x:c r="Z25" s="32" t="str">
        <x:v>KB-030</x:v>
      </x:c>
      <x:c r="AA25" s="75" t="n">
        <x:v>5</x:v>
      </x:c>
      <x:c r="AB25" s="32" t="str">
        <x:v>No</x:v>
      </x:c>
      <x:c r="AC25" s="32" t="str"/>
    </x:row>
    <x:row r="26">
      <x:c r="A26" s="32" t="str">
        <x:v>IT-2026-018</x:v>
      </x:c>
      <x:c r="B26" s="55" t="n">
        <x:v>46223.95208333333</x:v>
      </x:c>
      <x:c r="C26" s="32" t="str">
        <x:v>UE009</x:v>
      </x:c>
      <x:c r="D26" s="32" t="str">
        <x:f>IFERROR(VLOOKUP(C26,Employee_Master!$A$2:$N$31,2,FALSE),"")</x:f>
        <x:v>Demo Employee 09</x:v>
      </x:c>
      <x:c r="E26" s="32" t="str">
        <x:f>IFERROR(VLOOKUP(C26,Employee_Master!$A$2:$N$31,4,FALSE),"")</x:f>
        <x:v>Sales</x:v>
      </x:c>
      <x:c r="F26" s="32" t="str">
        <x:f>IFERROR(VLOOKUP(C26,Employee_Master!$A$2:$N$31,6,FALSE),"")</x:f>
        <x:v>Pooraka Head Office</x:v>
      </x:c>
      <x:c r="G26" s="32" t="str">
        <x:v>Teams</x:v>
      </x:c>
      <x:c r="H26" s="32" t="str">
        <x:v>Cybersecurity</x:v>
      </x:c>
      <x:c r="I26" s="32" t="str">
        <x:v>Phishing</x:v>
      </x:c>
      <x:c r="J26" s="32" t="str">
        <x:v>Employee reported suspicious Microsoft 365 email</x:v>
      </x:c>
      <x:c r="K26" s="32" t="str">
        <x:v>Medium</x:v>
      </x:c>
      <x:c r="L26" s="32" t="str">
        <x:v>High</x:v>
      </x:c>
      <x:c r="M26" s="32" t="str">
        <x:f>IFERROR(INDEX(Helpdesk_Setup!$B$5:$D$7,MATCH(K26,Helpdesk_Setup!$A$5:$A$7,0),MATCH(L26,Helpdesk_Setup!$B$4:$D$4,0)),"")</x:f>
        <x:v>P2</x:v>
      </x:c>
      <x:c r="N26" s="32" t="str">
        <x:v>Closed</x:v>
      </x:c>
      <x:c r="O26" s="32" t="str">
        <x:v>UE030</x:v>
      </x:c>
      <x:c r="P26" s="55" t="n">
        <x:v>46223.972916666666</x:v>
      </x:c>
      <x:c r="Q26" s="55" t="n">
        <x:v>46224.302083333336</x:v>
      </x:c>
      <x:c r="R26" s="74" t="n">
        <x:f>IFERROR(VLOOKUP(M26,Helpdesk_Setup!$F$5:$H$8,2,FALSE),"")</x:f>
        <x:v>1</x:v>
      </x:c>
      <x:c r="S26" s="74" t="n">
        <x:f>IFERROR(VLOOKUP(M26,Helpdesk_Setup!$F$5:$H$8,3,FALSE),"")</x:f>
        <x:v>8</x:v>
      </x:c>
      <x:c r="T26" s="74" t="n">
        <x:f>IF(P26="",(Helpdesk_Setup!$G$12-B26)*24,(P26-B26)*24)</x:f>
        <x:v>0.5000000000582077</x:v>
      </x:c>
      <x:c r="U26" s="74" t="n">
        <x:f>IF(Q26="",(Helpdesk_Setup!$G$12-B26)*24,(Q26-B26)*24)</x:f>
        <x:v>8.400000000139698</x:v>
      </x:c>
      <x:c r="V26" s="32" t="str">
        <x:f>IF(T26&lt;=R26,"Met","Breached")</x:f>
        <x:v>Met</x:v>
      </x:c>
      <x:c r="W26" s="32" t="str">
        <x:f>IF(U26&lt;=S26,"Met","Breached")</x:f>
        <x:v>Breached</x:v>
      </x:c>
      <x:c r="X26" s="32" t="str">
        <x:v>Quarantined email, checked account activity and briefed user</x:v>
      </x:c>
      <x:c r="Y26" s="32" t="str">
        <x:v>Phishing attempt</x:v>
      </x:c>
      <x:c r="Z26" s="32" t="str">
        <x:v>KB-019</x:v>
      </x:c>
      <x:c r="AA26" s="75" t="n">
        <x:v>4</x:v>
      </x:c>
      <x:c r="AB26" s="32" t="str">
        <x:v>No</x:v>
      </x:c>
      <x:c r="AC26" s="32" t="str">
        <x:v>Security-related mock case; no real incident data is represented.</x:v>
      </x:c>
    </x:row>
    <x:row r="27">
      <x:c r="A27" s="32" t="str">
        <x:v>IT-2026-019</x:v>
      </x:c>
      <x:c r="B27" s="55" t="n">
        <x:v>46224.25486111111</x:v>
      </x:c>
      <x:c r="C27" s="32" t="str">
        <x:v>UE023</x:v>
      </x:c>
      <x:c r="D27" s="32" t="str">
        <x:f>IFERROR(VLOOKUP(C27,Employee_Master!$A$2:$N$31,2,FALSE),"")</x:f>
        <x:v>Demo Employee 23</x:v>
      </x:c>
      <x:c r="E27" s="32" t="str">
        <x:f>IFERROR(VLOOKUP(C27,Employee_Master!$A$2:$N$31,4,FALSE),"")</x:f>
        <x:v>Construction &amp; Project Management</x:v>
      </x:c>
      <x:c r="F27" s="32" t="str">
        <x:f>IFERROR(VLOOKUP(C27,Employee_Master!$A$2:$N$31,6,FALSE),"")</x:f>
        <x:v>Prospect Project</x:v>
      </x:c>
      <x:c r="G27" s="32" t="str">
        <x:v>Phone</x:v>
      </x:c>
      <x:c r="H27" s="32" t="str">
        <x:v>Access &amp; Permissions</x:v>
      </x:c>
      <x:c r="I27" s="32" t="str">
        <x:v>Project Folder</x:v>
      </x:c>
      <x:c r="J27" s="32" t="str">
        <x:v>Unable to access project drawings folder</x:v>
      </x:c>
      <x:c r="K27" s="32" t="str">
        <x:v>Medium</x:v>
      </x:c>
      <x:c r="L27" s="32" t="str">
        <x:v>High</x:v>
      </x:c>
      <x:c r="M27" s="32" t="str">
        <x:f>IFERROR(INDEX(Helpdesk_Setup!$B$5:$D$7,MATCH(K27,Helpdesk_Setup!$A$5:$A$7,0),MATCH(L27,Helpdesk_Setup!$B$4:$D$4,0)),"")</x:f>
        <x:v>P2</x:v>
      </x:c>
      <x:c r="N27" s="32" t="str">
        <x:v>Closed</x:v>
      </x:c>
      <x:c r="O27" s="32" t="str">
        <x:v>UE030</x:v>
      </x:c>
      <x:c r="P27" s="55" t="n">
        <x:v>46224.29236111111</x:v>
      </x:c>
      <x:c r="Q27" s="55" t="n">
        <x:v>46224.60486111111</x:v>
      </x:c>
      <x:c r="R27" s="74" t="n">
        <x:f>IFERROR(VLOOKUP(M27,Helpdesk_Setup!$F$5:$H$8,2,FALSE),"")</x:f>
        <x:v>1</x:v>
      </x:c>
      <x:c r="S27" s="74" t="n">
        <x:f>IFERROR(VLOOKUP(M27,Helpdesk_Setup!$F$5:$H$8,3,FALSE),"")</x:f>
        <x:v>8</x:v>
      </x:c>
      <x:c r="T27" s="74" t="n">
        <x:f>IF(P27="",(Helpdesk_Setup!$G$12-B27)*24,(P27-B27)*24)</x:f>
        <x:v>0.8999999999650754</x:v>
      </x:c>
      <x:c r="U27" s="74" t="n">
        <x:f>IF(Q27="",(Helpdesk_Setup!$G$12-B27)*24,(Q27-B27)*24)</x:f>
        <x:v>8.399999999965075</x:v>
      </x:c>
      <x:c r="V27" s="32" t="str">
        <x:f>IF(T27&lt;=R27,"Met","Breached")</x:f>
        <x:v>Met</x:v>
      </x:c>
      <x:c r="W27" s="32" t="str">
        <x:f>IF(U27&lt;=S27,"Met","Breached")</x:f>
        <x:v>Breached</x:v>
      </x:c>
      <x:c r="X27" s="32" t="str">
        <x:v>Added user to approved SharePoint project group</x:v>
      </x:c>
      <x:c r="Y27" s="32" t="str">
        <x:v>Missing project-group membership</x:v>
      </x:c>
      <x:c r="Z27" s="32" t="str">
        <x:v>KB-024</x:v>
      </x:c>
      <x:c r="AA27" s="75" t="n">
        <x:v>5</x:v>
      </x:c>
      <x:c r="AB27" s="32" t="str">
        <x:v>No</x:v>
      </x:c>
      <x:c r="AC27" s="32" t="str">
        <x:v>Construction-workflow example using fictional project/support data.</x:v>
      </x:c>
    </x:row>
    <x:row r="28">
      <x:c r="A28" s="32" t="str">
        <x:v>IT-2026-020</x:v>
      </x:c>
      <x:c r="B28" s="55" t="n">
        <x:v>46224.41875</x:v>
      </x:c>
      <x:c r="C28" s="32" t="str">
        <x:v>UE003</x:v>
      </x:c>
      <x:c r="D28" s="32" t="str">
        <x:f>IFERROR(VLOOKUP(C28,Employee_Master!$A$2:$N$31,2,FALSE),"")</x:f>
        <x:v>Demo Employee 03</x:v>
      </x:c>
      <x:c r="E28" s="32" t="str">
        <x:f>IFERROR(VLOOKUP(C28,Employee_Master!$A$2:$N$31,4,FALSE),"")</x:f>
        <x:v>Management</x:v>
      </x:c>
      <x:c r="F28" s="32" t="str">
        <x:f>IFERROR(VLOOKUP(C28,Employee_Master!$A$2:$N$31,6,FALSE),"")</x:f>
        <x:v>Pooraka Head Office</x:v>
      </x:c>
      <x:c r="G28" s="32" t="str">
        <x:v>Phone</x:v>
      </x:c>
      <x:c r="H28" s="32" t="str">
        <x:v>Hardware</x:v>
      </x:c>
      <x:c r="I28" s="32" t="str">
        <x:v>Laptop</x:v>
      </x:c>
      <x:c r="J28" s="32" t="str">
        <x:v>Laptop will not power on</x:v>
      </x:c>
      <x:c r="K28" s="32" t="str">
        <x:v>High</x:v>
      </x:c>
      <x:c r="L28" s="32" t="str">
        <x:v>Low</x:v>
      </x:c>
      <x:c r="M28" s="32" t="str">
        <x:f>IFERROR(INDEX(Helpdesk_Setup!$B$5:$D$7,MATCH(K28,Helpdesk_Setup!$A$5:$A$7,0),MATCH(L28,Helpdesk_Setup!$B$4:$D$4,0)),"")</x:f>
        <x:v>P3</x:v>
      </x:c>
      <x:c r="N28" s="32" t="str">
        <x:v>Closed</x:v>
      </x:c>
      <x:c r="O28" s="32" t="str">
        <x:v>UE030</x:v>
      </x:c>
      <x:c r="P28" s="55" t="n">
        <x:v>46224.60208333333</x:v>
      </x:c>
      <x:c r="Q28" s="55" t="n">
        <x:v>46224.86875</x:v>
      </x:c>
      <x:c r="R28" s="74" t="n">
        <x:f>IFERROR(VLOOKUP(M28,Helpdesk_Setup!$F$5:$H$8,2,FALSE),"")</x:f>
        <x:v>4</x:v>
      </x:c>
      <x:c r="S28" s="74" t="n">
        <x:f>IFERROR(VLOOKUP(M28,Helpdesk_Setup!$F$5:$H$8,3,FALSE),"")</x:f>
        <x:v>24</x:v>
      </x:c>
      <x:c r="T28" s="74" t="n">
        <x:f>IF(P28="",(Helpdesk_Setup!$G$12-B28)*24,(P28-B28)*24)</x:f>
        <x:v>4.400000000023283</x:v>
      </x:c>
      <x:c r="U28" s="74" t="n">
        <x:f>IF(Q28="",(Helpdesk_Setup!$G$12-B28)*24,(Q28-B28)*24)</x:f>
        <x:v>10.800000000104774</x:v>
      </x:c>
      <x:c r="V28" s="32" t="str">
        <x:f>IF(T28&lt;=R28,"Met","Breached")</x:f>
        <x:v>Breached</x:v>
      </x:c>
      <x:c r="W28" s="32" t="str">
        <x:f>IF(U28&lt;=S28,"Met","Breached")</x:f>
        <x:v>Met</x:v>
      </x:c>
      <x:c r="X28" s="32" t="str">
        <x:v>Tested replacement adapter and restored power</x:v>
      </x:c>
      <x:c r="Y28" s="32" t="str">
        <x:v>Power adapter issue</x:v>
      </x:c>
      <x:c r="Z28" s="32" t="str">
        <x:v>KB-026</x:v>
      </x:c>
      <x:c r="AA28" s="75" t="n">
        <x:v>5</x:v>
      </x:c>
      <x:c r="AB28" s="32" t="str">
        <x:v>No</x:v>
      </x:c>
      <x:c r="AC28" s="32" t="str"/>
    </x:row>
    <x:row r="29">
      <x:c r="A29" s="32" t="str">
        <x:v>IT-2026-021</x:v>
      </x:c>
      <x:c r="B29" s="55" t="n">
        <x:v>46224.67083333333</x:v>
      </x:c>
      <x:c r="C29" s="32" t="str">
        <x:v>UE002</x:v>
      </x:c>
      <x:c r="D29" s="32" t="str">
        <x:f>IFERROR(VLOOKUP(C29,Employee_Master!$A$2:$N$31,2,FALSE),"")</x:f>
        <x:v>Demo Employee 02</x:v>
      </x:c>
      <x:c r="E29" s="32" t="str">
        <x:f>IFERROR(VLOOKUP(C29,Employee_Master!$A$2:$N$31,4,FALSE),"")</x:f>
        <x:v>Management</x:v>
      </x:c>
      <x:c r="F29" s="32" t="str">
        <x:f>IFERROR(VLOOKUP(C29,Employee_Master!$A$2:$N$31,6,FALSE),"")</x:f>
        <x:v>Pooraka Head Office</x:v>
      </x:c>
      <x:c r="G29" s="32" t="str">
        <x:v>Email</x:v>
      </x:c>
      <x:c r="H29" s="32" t="str">
        <x:v>Network &amp; Wi-Fi</x:v>
      </x:c>
      <x:c r="I29" s="32" t="str">
        <x:v>Internet</x:v>
      </x:c>
      <x:c r="J29" s="32" t="str">
        <x:v>Poor internet connectivity at project site</x:v>
      </x:c>
      <x:c r="K29" s="32" t="str">
        <x:v>Medium</x:v>
      </x:c>
      <x:c r="L29" s="32" t="str">
        <x:v>Medium</x:v>
      </x:c>
      <x:c r="M29" s="32" t="str">
        <x:f>IFERROR(INDEX(Helpdesk_Setup!$B$5:$D$7,MATCH(K29,Helpdesk_Setup!$A$5:$A$7,0),MATCH(L29,Helpdesk_Setup!$B$4:$D$4,0)),"")</x:f>
        <x:v>P3</x:v>
      </x:c>
      <x:c r="N29" s="32" t="str">
        <x:v>Closed</x:v>
      </x:c>
      <x:c r="O29" s="32" t="str">
        <x:v>UE030</x:v>
      </x:c>
      <x:c r="P29" s="55" t="n">
        <x:v>46224.7125</x:v>
      </x:c>
      <x:c r="Q29" s="55" t="n">
        <x:v>46225.72083333333</x:v>
      </x:c>
      <x:c r="R29" s="74" t="n">
        <x:f>IFERROR(VLOOKUP(M29,Helpdesk_Setup!$F$5:$H$8,2,FALSE),"")</x:f>
        <x:v>4</x:v>
      </x:c>
      <x:c r="S29" s="74" t="n">
        <x:f>IFERROR(VLOOKUP(M29,Helpdesk_Setup!$F$5:$H$8,3,FALSE),"")</x:f>
        <x:v>24</x:v>
      </x:c>
      <x:c r="T29" s="74" t="n">
        <x:f>IF(P29="",(Helpdesk_Setup!$G$12-B29)*24,(P29-B29)*24)</x:f>
        <x:v>1.0000000001164153</x:v>
      </x:c>
      <x:c r="U29" s="74" t="n">
        <x:f>IF(Q29="",(Helpdesk_Setup!$G$12-B29)*24,(Q29-B29)*24)</x:f>
        <x:v>25.20000000006985</x:v>
      </x:c>
      <x:c r="V29" s="32" t="str">
        <x:f>IF(T29&lt;=R29,"Met","Breached")</x:f>
        <x:v>Met</x:v>
      </x:c>
      <x:c r="W29" s="32" t="str">
        <x:f>IF(U29&lt;=S29,"Met","Breached")</x:f>
        <x:v>Breached</x:v>
      </x:c>
      <x:c r="X29" s="32" t="str">
        <x:v>Switched to approved backup hotspot and escalated carrier issue</x:v>
      </x:c>
      <x:c r="Y29" s="32" t="str">
        <x:v>Mobile coverage / hotspot issue</x:v>
      </x:c>
      <x:c r="Z29" s="32" t="str">
        <x:v>KB-017</x:v>
      </x:c>
      <x:c r="AA29" s="75" t="n">
        <x:v>5</x:v>
      </x:c>
      <x:c r="AB29" s="32" t="str">
        <x:v>No</x:v>
      </x:c>
      <x:c r="AC29" s="32" t="str">
        <x:v>Construction-workflow example using fictional project/support data.</x:v>
      </x:c>
    </x:row>
    <x:row r="30">
      <x:c r="A30" s="32" t="str">
        <x:v>IT-2026-022</x:v>
      </x:c>
      <x:c r="B30" s="55" t="n">
        <x:v>46225.53125</x:v>
      </x:c>
      <x:c r="C30" s="32" t="str">
        <x:v>UE007</x:v>
      </x:c>
      <x:c r="D30" s="32" t="str">
        <x:f>IFERROR(VLOOKUP(C30,Employee_Master!$A$2:$N$31,2,FALSE),"")</x:f>
        <x:v>Demo Employee 07</x:v>
      </x:c>
      <x:c r="E30" s="32" t="str">
        <x:f>IFERROR(VLOOKUP(C30,Employee_Master!$A$2:$N$31,4,FALSE),"")</x:f>
        <x:v>Administration</x:v>
      </x:c>
      <x:c r="F30" s="32" t="str">
        <x:f>IFERROR(VLOOKUP(C30,Employee_Master!$A$2:$N$31,6,FALSE),"")</x:f>
        <x:v>Pooraka Head Office</x:v>
      </x:c>
      <x:c r="G30" s="32" t="str">
        <x:v>Teams</x:v>
      </x:c>
      <x:c r="H30" s="32" t="str">
        <x:v>Cybersecurity</x:v>
      </x:c>
      <x:c r="I30" s="32" t="str">
        <x:v>Device</x:v>
      </x:c>
      <x:c r="J30" s="32" t="str">
        <x:v>Defender reports potentially unwanted application</x:v>
      </x:c>
      <x:c r="K30" s="32" t="str">
        <x:v>Medium</x:v>
      </x:c>
      <x:c r="L30" s="32" t="str">
        <x:v>High</x:v>
      </x:c>
      <x:c r="M30" s="32" t="str">
        <x:f>IFERROR(INDEX(Helpdesk_Setup!$B$5:$D$7,MATCH(K30,Helpdesk_Setup!$A$5:$A$7,0),MATCH(L30,Helpdesk_Setup!$B$4:$D$4,0)),"")</x:f>
        <x:v>P2</x:v>
      </x:c>
      <x:c r="N30" s="32" t="str">
        <x:v>Resolved</x:v>
      </x:c>
      <x:c r="O30" s="32" t="str">
        <x:v>UE030</x:v>
      </x:c>
      <x:c r="P30" s="55" t="n">
        <x:v>46225.57708333333</x:v>
      </x:c>
      <x:c r="Q30" s="55" t="n">
        <x:v>46225.88125</x:v>
      </x:c>
      <x:c r="R30" s="74" t="n">
        <x:f>IFERROR(VLOOKUP(M30,Helpdesk_Setup!$F$5:$H$8,2,FALSE),"")</x:f>
        <x:v>1</x:v>
      </x:c>
      <x:c r="S30" s="74" t="n">
        <x:f>IFERROR(VLOOKUP(M30,Helpdesk_Setup!$F$5:$H$8,3,FALSE),"")</x:f>
        <x:v>8</x:v>
      </x:c>
      <x:c r="T30" s="74" t="n">
        <x:f>IF(P30="",(Helpdesk_Setup!$G$12-B30)*24,(P30-B30)*24)</x:f>
        <x:v>1.0999999999185093</x:v>
      </x:c>
      <x:c r="U30" s="74" t="n">
        <x:f>IF(Q30="",(Helpdesk_Setup!$G$12-B30)*24,(Q30-B30)*24)</x:f>
        <x:v>8.399999999965075</x:v>
      </x:c>
      <x:c r="V30" s="32" t="str">
        <x:f>IF(T30&lt;=R30,"Met","Breached")</x:f>
        <x:v>Breached</x:v>
      </x:c>
      <x:c r="W30" s="32" t="str">
        <x:f>IF(U30&lt;=S30,"Met","Breached")</x:f>
        <x:v>Breached</x:v>
      </x:c>
      <x:c r="X30" s="32" t="str">
        <x:v>Removed application and completed Defender scan</x:v>
      </x:c>
      <x:c r="Y30" s="32" t="str">
        <x:v>Unapproved browser utility</x:v>
      </x:c>
      <x:c r="Z30" s="32" t="str">
        <x:v>KB-020</x:v>
      </x:c>
      <x:c r="AA30" s="75" t="n">
        <x:v>5</x:v>
      </x:c>
      <x:c r="AB30" s="32" t="str">
        <x:v>No</x:v>
      </x:c>
      <x:c r="AC30" s="32" t="str">
        <x:v>Security-related mock case; no real incident data is represented.</x:v>
      </x:c>
    </x:row>
    <x:row r="31">
      <x:c r="A31" s="32" t="str">
        <x:v>IT-2026-023</x:v>
      </x:c>
      <x:c r="B31" s="55" t="n">
        <x:v>46226.64444444444</x:v>
      </x:c>
      <x:c r="C31" s="32" t="str">
        <x:v>UE026</x:v>
      </x:c>
      <x:c r="D31" s="32" t="str">
        <x:f>IFERROR(VLOOKUP(C31,Employee_Master!$A$2:$N$31,2,FALSE),"")</x:f>
        <x:v>Demo Employee 26</x:v>
      </x:c>
      <x:c r="E31" s="32" t="str">
        <x:f>IFERROR(VLOOKUP(C31,Employee_Master!$A$2:$N$31,4,FALSE),"")</x:f>
        <x:v>Construction &amp; Project Management</x:v>
      </x:c>
      <x:c r="F31" s="32" t="str">
        <x:f>IFERROR(VLOOKUP(C31,Employee_Master!$A$2:$N$31,6,FALSE),"")</x:f>
        <x:v>Remote / Mobile</x:v>
      </x:c>
      <x:c r="G31" s="32" t="str">
        <x:v>Phone</x:v>
      </x:c>
      <x:c r="H31" s="32" t="str">
        <x:v>Access &amp; Permissions</x:v>
      </x:c>
      <x:c r="I31" s="32" t="str">
        <x:v>Password</x:v>
      </x:c>
      <x:c r="J31" s="32" t="str">
        <x:v>Account locked after repeated sign-in attempts</x:v>
      </x:c>
      <x:c r="K31" s="32" t="str">
        <x:v>Medium</x:v>
      </x:c>
      <x:c r="L31" s="32" t="str">
        <x:v>Medium</x:v>
      </x:c>
      <x:c r="M31" s="32" t="str">
        <x:f>IFERROR(INDEX(Helpdesk_Setup!$B$5:$D$7,MATCH(K31,Helpdesk_Setup!$A$5:$A$7,0),MATCH(L31,Helpdesk_Setup!$B$4:$D$4,0)),"")</x:f>
        <x:v>P3</x:v>
      </x:c>
      <x:c r="N31" s="32" t="str">
        <x:v>Closed</x:v>
      </x:c>
      <x:c r="O31" s="32" t="str">
        <x:v>UE030</x:v>
      </x:c>
      <x:c r="P31" s="55" t="n">
        <x:v>46226.794444444444</x:v>
      </x:c>
      <x:c r="Q31" s="55" t="n">
        <x:v>46227.34444444445</x:v>
      </x:c>
      <x:c r="R31" s="74" t="n">
        <x:f>IFERROR(VLOOKUP(M31,Helpdesk_Setup!$F$5:$H$8,2,FALSE),"")</x:f>
        <x:v>4</x:v>
      </x:c>
      <x:c r="S31" s="74" t="n">
        <x:f>IFERROR(VLOOKUP(M31,Helpdesk_Setup!$F$5:$H$8,3,FALSE),"")</x:f>
        <x:v>24</x:v>
      </x:c>
      <x:c r="T31" s="74" t="n">
        <x:f>IF(P31="",(Helpdesk_Setup!$G$12-B31)*24,(P31-B31)*24)</x:f>
        <x:v>3.6000000000349246</x:v>
      </x:c>
      <x:c r="U31" s="74" t="n">
        <x:f>IF(Q31="",(Helpdesk_Setup!$G$12-B31)*24,(Q31-B31)*24)</x:f>
        <x:v>16.800000000104774</x:v>
      </x:c>
      <x:c r="V31" s="32" t="str">
        <x:f>IF(T31&lt;=R31,"Met","Breached")</x:f>
        <x:v>Met</x:v>
      </x:c>
      <x:c r="W31" s="32" t="str">
        <x:f>IF(U31&lt;=S31,"Met","Breached")</x:f>
        <x:v>Met</x:v>
      </x:c>
      <x:c r="X31" s="32" t="str">
        <x:v>Reset password and removed outdated stored credentials</x:v>
      </x:c>
      <x:c r="Y31" s="32" t="str">
        <x:v>Expired saved credentials</x:v>
      </x:c>
      <x:c r="Z31" s="32" t="str">
        <x:v>KB-006</x:v>
      </x:c>
      <x:c r="AA31" s="75" t="n">
        <x:v>5</x:v>
      </x:c>
      <x:c r="AB31" s="32" t="str">
        <x:v>No</x:v>
      </x:c>
      <x:c r="AC31" s="32" t="str"/>
    </x:row>
    <x:row r="32">
      <x:c r="A32" s="32" t="str">
        <x:v>IT-2026-024</x:v>
      </x:c>
      <x:c r="B32" s="55" t="n">
        <x:v>46228.43125</x:v>
      </x:c>
      <x:c r="C32" s="32" t="str">
        <x:v>UE024</x:v>
      </x:c>
      <x:c r="D32" s="32" t="str">
        <x:f>IFERROR(VLOOKUP(C32,Employee_Master!$A$2:$N$31,2,FALSE),"")</x:f>
        <x:v>Demo Employee 24</x:v>
      </x:c>
      <x:c r="E32" s="32" t="str">
        <x:f>IFERROR(VLOOKUP(C32,Employee_Master!$A$2:$N$31,4,FALSE),"")</x:f>
        <x:v>Construction &amp; Project Management</x:v>
      </x:c>
      <x:c r="F32" s="32" t="str">
        <x:f>IFERROR(VLOOKUP(C32,Employee_Master!$A$2:$N$31,6,FALSE),"")</x:f>
        <x:v>Para Hills Project</x:v>
      </x:c>
      <x:c r="G32" s="32" t="str">
        <x:v>Email</x:v>
      </x:c>
      <x:c r="H32" s="32" t="str">
        <x:v>Software</x:v>
      </x:c>
      <x:c r="I32" s="32" t="str">
        <x:v>Installation</x:v>
      </x:c>
      <x:c r="J32" s="32" t="str">
        <x:v>Approved software installation requested</x:v>
      </x:c>
      <x:c r="K32" s="32" t="str">
        <x:v>Medium</x:v>
      </x:c>
      <x:c r="L32" s="32" t="str">
        <x:v>High</x:v>
      </x:c>
      <x:c r="M32" s="32" t="str">
        <x:f>IFERROR(INDEX(Helpdesk_Setup!$B$5:$D$7,MATCH(K32,Helpdesk_Setup!$A$5:$A$7,0),MATCH(L32,Helpdesk_Setup!$B$4:$D$4,0)),"")</x:f>
        <x:v>P2</x:v>
      </x:c>
      <x:c r="N32" s="32" t="str">
        <x:v>Resolved</x:v>
      </x:c>
      <x:c r="O32" s="32" t="str">
        <x:v>UE030</x:v>
      </x:c>
      <x:c r="P32" s="55" t="n">
        <x:v>46228.441666666666</x:v>
      </x:c>
      <x:c r="Q32" s="55" t="n">
        <x:v>46228.51458333333</x:v>
      </x:c>
      <x:c r="R32" s="74" t="n">
        <x:f>IFERROR(VLOOKUP(M32,Helpdesk_Setup!$F$5:$H$8,2,FALSE),"")</x:f>
        <x:v>1</x:v>
      </x:c>
      <x:c r="S32" s="74" t="n">
        <x:f>IFERROR(VLOOKUP(M32,Helpdesk_Setup!$F$5:$H$8,3,FALSE),"")</x:f>
        <x:v>8</x:v>
      </x:c>
      <x:c r="T32" s="74" t="n">
        <x:f>IF(P32="",(Helpdesk_Setup!$G$12-B32)*24,(P32-B32)*24)</x:f>
        <x:v>0.24999999994179234</x:v>
      </x:c>
      <x:c r="U32" s="74" t="n">
        <x:f>IF(Q32="",(Helpdesk_Setup!$G$12-B32)*24,(Q32-B32)*24)</x:f>
        <x:v>1.9999999998835847</x:v>
      </x:c>
      <x:c r="V32" s="32" t="str">
        <x:f>IF(T32&lt;=R32,"Met","Breached")</x:f>
        <x:v>Met</x:v>
      </x:c>
      <x:c r="W32" s="32" t="str">
        <x:f>IF(U32&lt;=S32,"Met","Breached")</x:f>
        <x:v>Met</x:v>
      </x:c>
      <x:c r="X32" s="32" t="str">
        <x:v>Installed approved software and documented licence allocation</x:v>
      </x:c>
      <x:c r="Y32" s="32" t="str">
        <x:v>Application not installed</x:v>
      </x:c>
      <x:c r="Z32" s="32" t="str">
        <x:v>KB-015</x:v>
      </x:c>
      <x:c r="AA32" s="75" t="n">
        <x:v>5</x:v>
      </x:c>
      <x:c r="AB32" s="32" t="str">
        <x:v>No</x:v>
      </x:c>
      <x:c r="AC32" s="32" t="str"/>
    </x:row>
    <x:row r="33">
      <x:c r="A33" s="32" t="str">
        <x:v>IT-2026-025</x:v>
      </x:c>
      <x:c r="B33" s="55" t="n">
        <x:v>46229.3875</x:v>
      </x:c>
      <x:c r="C33" s="32" t="str">
        <x:v>UE028</x:v>
      </x:c>
      <x:c r="D33" s="32" t="str">
        <x:f>IFERROR(VLOOKUP(C33,Employee_Master!$A$2:$N$31,2,FALSE),"")</x:f>
        <x:v>Demo Employee 28</x:v>
      </x:c>
      <x:c r="E33" s="32" t="str">
        <x:f>IFERROR(VLOOKUP(C33,Employee_Master!$A$2:$N$31,4,FALSE),"")</x:f>
        <x:v>Marketing</x:v>
      </x:c>
      <x:c r="F33" s="32" t="str">
        <x:f>IFERROR(VLOOKUP(C33,Employee_Master!$A$2:$N$31,6,FALSE),"")</x:f>
        <x:v>Pooraka Head Office</x:v>
      </x:c>
      <x:c r="G33" s="32" t="str">
        <x:v>Email</x:v>
      </x:c>
      <x:c r="H33" s="32" t="str">
        <x:v>Mobile Device</x:v>
      </x:c>
      <x:c r="I33" s="32" t="str">
        <x:v>Email</x:v>
      </x:c>
      <x:c r="J33" s="32" t="str">
        <x:v>Company phone not receiving Outlook email</x:v>
      </x:c>
      <x:c r="K33" s="32" t="str">
        <x:v>Medium</x:v>
      </x:c>
      <x:c r="L33" s="32" t="str">
        <x:v>Low</x:v>
      </x:c>
      <x:c r="M33" s="32" t="str">
        <x:f>IFERROR(INDEX(Helpdesk_Setup!$B$5:$D$7,MATCH(K33,Helpdesk_Setup!$A$5:$A$7,0),MATCH(L33,Helpdesk_Setup!$B$4:$D$4,0)),"")</x:f>
        <x:v>P4</x:v>
      </x:c>
      <x:c r="N33" s="32" t="str">
        <x:v>Closed</x:v>
      </x:c>
      <x:c r="O33" s="32" t="str">
        <x:v>UE030</x:v>
      </x:c>
      <x:c r="P33" s="55" t="n">
        <x:v>46229.6875</x:v>
      </x:c>
      <x:c r="Q33" s="55" t="n">
        <x:v>46230.7375</x:v>
      </x:c>
      <x:c r="R33" s="74" t="n">
        <x:f>IFERROR(VLOOKUP(M33,Helpdesk_Setup!$F$5:$H$8,2,FALSE),"")</x:f>
        <x:v>8</x:v>
      </x:c>
      <x:c r="S33" s="74" t="n">
        <x:f>IFERROR(VLOOKUP(M33,Helpdesk_Setup!$F$5:$H$8,3,FALSE),"")</x:f>
        <x:v>72</x:v>
      </x:c>
      <x:c r="T33" s="74" t="n">
        <x:f>IF(P33="",(Helpdesk_Setup!$G$12-B33)*24,(P33-B33)*24)</x:f>
        <x:v>7.200000000069849</x:v>
      </x:c>
      <x:c r="U33" s="74" t="n">
        <x:f>IF(Q33="",(Helpdesk_Setup!$G$12-B33)*24,(Q33-B33)*24)</x:f>
        <x:v>32.4000000001397</x:v>
      </x:c>
      <x:c r="V33" s="32" t="str">
        <x:f>IF(T33&lt;=R33,"Met","Breached")</x:f>
        <x:v>Met</x:v>
      </x:c>
      <x:c r="W33" s="32" t="str">
        <x:f>IF(U33&lt;=S33,"Met","Breached")</x:f>
        <x:v>Met</x:v>
      </x:c>
      <x:c r="X33" s="32" t="str">
        <x:v>Re-authenticated Outlook mobile account</x:v>
      </x:c>
      <x:c r="Y33" s="32" t="str">
        <x:v>Expired mobile sign-in token</x:v>
      </x:c>
      <x:c r="Z33" s="32" t="str">
        <x:v>KB-022</x:v>
      </x:c>
      <x:c r="AA33" s="75" t="n">
        <x:v>5</x:v>
      </x:c>
      <x:c r="AB33" s="32" t="str">
        <x:v>No</x:v>
      </x:c>
      <x:c r="AC33" s="32" t="str"/>
    </x:row>
    <x:row r="34">
      <x:c r="A34" s="32" t="str">
        <x:v>IT-2026-026</x:v>
      </x:c>
      <x:c r="B34" s="55" t="n">
        <x:v>46229.646527777775</x:v>
      </x:c>
      <x:c r="C34" s="32" t="str">
        <x:v>UE008</x:v>
      </x:c>
      <x:c r="D34" s="32" t="str">
        <x:f>IFERROR(VLOOKUP(C34,Employee_Master!$A$2:$N$31,2,FALSE),"")</x:f>
        <x:v>Demo Employee 08</x:v>
      </x:c>
      <x:c r="E34" s="32" t="str">
        <x:f>IFERROR(VLOOKUP(C34,Employee_Master!$A$2:$N$31,4,FALSE),"")</x:f>
        <x:v>Sales</x:v>
      </x:c>
      <x:c r="F34" s="32" t="str">
        <x:f>IFERROR(VLOOKUP(C34,Employee_Master!$A$2:$N$31,6,FALSE),"")</x:f>
        <x:v>Pooraka Head Office</x:v>
      </x:c>
      <x:c r="G34" s="32" t="str">
        <x:v>Form</x:v>
      </x:c>
      <x:c r="H34" s="32" t="str">
        <x:v>Microsoft 365</x:v>
      </x:c>
      <x:c r="I34" s="32" t="str">
        <x:v>OneDrive</x:v>
      </x:c>
      <x:c r="J34" s="32" t="str">
        <x:v>OneDrive stuck on syncing project files</x:v>
      </x:c>
      <x:c r="K34" s="32" t="str">
        <x:v>Medium</x:v>
      </x:c>
      <x:c r="L34" s="32" t="str">
        <x:v>Medium</x:v>
      </x:c>
      <x:c r="M34" s="32" t="str">
        <x:f>IFERROR(INDEX(Helpdesk_Setup!$B$5:$D$7,MATCH(K34,Helpdesk_Setup!$A$5:$A$7,0),MATCH(L34,Helpdesk_Setup!$B$4:$D$4,0)),"")</x:f>
        <x:v>P3</x:v>
      </x:c>
      <x:c r="N34" s="32" t="str">
        <x:v>Closed</x:v>
      </x:c>
      <x:c r="O34" s="32" t="str">
        <x:v>UE030</x:v>
      </x:c>
      <x:c r="P34" s="55" t="n">
        <x:v>46229.82986111111</x:v>
      </x:c>
      <x:c r="Q34" s="55" t="n">
        <x:v>46229.896527777775</x:v>
      </x:c>
      <x:c r="R34" s="74" t="n">
        <x:f>IFERROR(VLOOKUP(M34,Helpdesk_Setup!$F$5:$H$8,2,FALSE),"")</x:f>
        <x:v>4</x:v>
      </x:c>
      <x:c r="S34" s="74" t="n">
        <x:f>IFERROR(VLOOKUP(M34,Helpdesk_Setup!$F$5:$H$8,3,FALSE),"")</x:f>
        <x:v>24</x:v>
      </x:c>
      <x:c r="T34" s="74" t="n">
        <x:f>IF(P34="",(Helpdesk_Setup!$G$12-B34)*24,(P34-B34)*24)</x:f>
        <x:v>4.400000000023283</x:v>
      </x:c>
      <x:c r="U34" s="74" t="n">
        <x:f>IF(Q34="",(Helpdesk_Setup!$G$12-B34)*24,(Q34-B34)*24)</x:f>
        <x:v>6</x:v>
      </x:c>
      <x:c r="V34" s="32" t="str">
        <x:f>IF(T34&lt;=R34,"Met","Breached")</x:f>
        <x:v>Breached</x:v>
      </x:c>
      <x:c r="W34" s="32" t="str">
        <x:f>IF(U34&lt;=S34,"Met","Breached")</x:f>
        <x:v>Met</x:v>
      </x:c>
      <x:c r="X34" s="32" t="str">
        <x:v>Cleared conflicting file and restarted OneDrive sync</x:v>
      </x:c>
      <x:c r="Y34" s="32" t="str">
        <x:v>Sync conflict</x:v>
      </x:c>
      <x:c r="Z34" s="32" t="str">
        <x:v>KB-002</x:v>
      </x:c>
      <x:c r="AA34" s="75" t="n">
        <x:v>5</x:v>
      </x:c>
      <x:c r="AB34" s="32" t="str">
        <x:v>No</x:v>
      </x:c>
      <x:c r="AC34" s="32" t="str">
        <x:v>Construction-workflow example using fictional project/support data.</x:v>
      </x:c>
    </x:row>
    <x:row r="35">
      <x:c r="A35" s="32" t="str">
        <x:v>IT-2026-027</x:v>
      </x:c>
      <x:c r="B35" s="55" t="n">
        <x:v>46229.67569444444</x:v>
      </x:c>
      <x:c r="C35" s="32" t="str">
        <x:v>UE027</x:v>
      </x:c>
      <x:c r="D35" s="32" t="str">
        <x:f>IFERROR(VLOOKUP(C35,Employee_Master!$A$2:$N$31,2,FALSE),"")</x:f>
        <x:v>Demo Employee 27</x:v>
      </x:c>
      <x:c r="E35" s="32" t="str">
        <x:f>IFERROR(VLOOKUP(C35,Employee_Master!$A$2:$N$31,4,FALSE),"")</x:f>
        <x:v>Marketing</x:v>
      </x:c>
      <x:c r="F35" s="32" t="str">
        <x:f>IFERROR(VLOOKUP(C35,Employee_Master!$A$2:$N$31,6,FALSE),"")</x:f>
        <x:v>Pooraka Head Office</x:v>
      </x:c>
      <x:c r="G35" s="32" t="str">
        <x:v>Email</x:v>
      </x:c>
      <x:c r="H35" s="32" t="str">
        <x:v>Hardware</x:v>
      </x:c>
      <x:c r="I35" s="32" t="str">
        <x:v>Docking Station</x:v>
      </x:c>
      <x:c r="J35" s="32" t="str">
        <x:v>External monitors not detected</x:v>
      </x:c>
      <x:c r="K35" s="32" t="str">
        <x:v>Medium</x:v>
      </x:c>
      <x:c r="L35" s="32" t="str">
        <x:v>Medium</x:v>
      </x:c>
      <x:c r="M35" s="32" t="str">
        <x:f>IFERROR(INDEX(Helpdesk_Setup!$B$5:$D$7,MATCH(K35,Helpdesk_Setup!$A$5:$A$7,0),MATCH(L35,Helpdesk_Setup!$B$4:$D$4,0)),"")</x:f>
        <x:v>P3</x:v>
      </x:c>
      <x:c r="N35" s="32" t="str">
        <x:v>Resolved</x:v>
      </x:c>
      <x:c r="O35" s="32" t="str">
        <x:v>UE030</x:v>
      </x:c>
      <x:c r="P35" s="55" t="n">
        <x:v>46229.75902777778</x:v>
      </x:c>
      <x:c r="Q35" s="55" t="n">
        <x:v>46230.12569444445</x:v>
      </x:c>
      <x:c r="R35" s="74" t="n">
        <x:f>IFERROR(VLOOKUP(M35,Helpdesk_Setup!$F$5:$H$8,2,FALSE),"")</x:f>
        <x:v>4</x:v>
      </x:c>
      <x:c r="S35" s="74" t="n">
        <x:f>IFERROR(VLOOKUP(M35,Helpdesk_Setup!$F$5:$H$8,3,FALSE),"")</x:f>
        <x:v>24</x:v>
      </x:c>
      <x:c r="T35" s="74" t="n">
        <x:f>IF(P35="",(Helpdesk_Setup!$G$12-B35)*24,(P35-B35)*24)</x:f>
        <x:v>2.0000000000582077</x:v>
      </x:c>
      <x:c r="U35" s="74" t="n">
        <x:f>IF(Q35="",(Helpdesk_Setup!$G$12-B35)*24,(Q35-B35)*24)</x:f>
        <x:v>10.800000000104774</x:v>
      </x:c>
      <x:c r="V35" s="32" t="str">
        <x:f>IF(T35&lt;=R35,"Met","Breached")</x:f>
        <x:v>Met</x:v>
      </x:c>
      <x:c r="W35" s="32" t="str">
        <x:f>IF(U35&lt;=S35,"Met","Breached")</x:f>
        <x:v>Met</x:v>
      </x:c>
      <x:c r="X35" s="32" t="str">
        <x:v>Updated dock firmware and reseated USB-C connection</x:v>
      </x:c>
      <x:c r="Y35" s="32" t="str">
        <x:v>Dock firmware / cable issue</x:v>
      </x:c>
      <x:c r="Z35" s="32" t="str">
        <x:v>KB-012</x:v>
      </x:c>
      <x:c r="AA35" s="75" t="n">
        <x:v>5</x:v>
      </x:c>
      <x:c r="AB35" s="32" t="str">
        <x:v>No</x:v>
      </x:c>
      <x:c r="AC35" s="32" t="str"/>
    </x:row>
    <x:row r="36">
      <x:c r="A36" s="32" t="str">
        <x:v>IT-2026-028</x:v>
      </x:c>
      <x:c r="B36" s="55" t="n">
        <x:v>46234.99166666667</x:v>
      </x:c>
      <x:c r="C36" s="32" t="str">
        <x:v>UE028</x:v>
      </x:c>
      <x:c r="D36" s="32" t="str">
        <x:f>IFERROR(VLOOKUP(C36,Employee_Master!$A$2:$N$31,2,FALSE),"")</x:f>
        <x:v>Demo Employee 28</x:v>
      </x:c>
      <x:c r="E36" s="32" t="str">
        <x:f>IFERROR(VLOOKUP(C36,Employee_Master!$A$2:$N$31,4,FALSE),"")</x:f>
        <x:v>Marketing</x:v>
      </x:c>
      <x:c r="F36" s="32" t="str">
        <x:f>IFERROR(VLOOKUP(C36,Employee_Master!$A$2:$N$31,6,FALSE),"")</x:f>
        <x:v>Pooraka Head Office</x:v>
      </x:c>
      <x:c r="G36" s="32" t="str">
        <x:v>Phone</x:v>
      </x:c>
      <x:c r="H36" s="32" t="str">
        <x:v>Printer &amp; Scanner</x:v>
      </x:c>
      <x:c r="I36" s="32" t="str">
        <x:v>Scanner</x:v>
      </x:c>
      <x:c r="J36" s="32" t="str">
        <x:v>Scanned documents not saving to shared folder</x:v>
      </x:c>
      <x:c r="K36" s="32" t="str">
        <x:v>Medium</x:v>
      </x:c>
      <x:c r="L36" s="32" t="str">
        <x:v>Medium</x:v>
      </x:c>
      <x:c r="M36" s="32" t="str">
        <x:f>IFERROR(INDEX(Helpdesk_Setup!$B$5:$D$7,MATCH(K36,Helpdesk_Setup!$A$5:$A$7,0),MATCH(L36,Helpdesk_Setup!$B$4:$D$4,0)),"")</x:f>
        <x:v>P3</x:v>
      </x:c>
      <x:c r="N36" s="32" t="str">
        <x:v>Closed</x:v>
      </x:c>
      <x:c r="O36" s="32" t="str">
        <x:v>UE030</x:v>
      </x:c>
      <x:c r="P36" s="55" t="n">
        <x:v>46235.03333333333</x:v>
      </x:c>
      <x:c r="Q36" s="55" t="n">
        <x:v>46235.89166666667</x:v>
      </x:c>
      <x:c r="R36" s="74" t="n">
        <x:f>IFERROR(VLOOKUP(M36,Helpdesk_Setup!$F$5:$H$8,2,FALSE),"")</x:f>
        <x:v>4</x:v>
      </x:c>
      <x:c r="S36" s="74" t="n">
        <x:f>IFERROR(VLOOKUP(M36,Helpdesk_Setup!$F$5:$H$8,3,FALSE),"")</x:f>
        <x:v>24</x:v>
      </x:c>
      <x:c r="T36" s="74" t="n">
        <x:f>IF(P36="",(Helpdesk_Setup!$G$12-B36)*24,(P36-B36)*24)</x:f>
        <x:v>0.9999999999417923</x:v>
      </x:c>
      <x:c r="U36" s="74" t="n">
        <x:f>IF(Q36="",(Helpdesk_Setup!$G$12-B36)*24,(Q36-B36)*24)</x:f>
        <x:v>21.600000000034925</x:v>
      </x:c>
      <x:c r="V36" s="32" t="str">
        <x:f>IF(T36&lt;=R36,"Met","Breached")</x:f>
        <x:v>Met</x:v>
      </x:c>
      <x:c r="W36" s="32" t="str">
        <x:f>IF(U36&lt;=S36,"Met","Breached")</x:f>
        <x:v>Met</x:v>
      </x:c>
      <x:c r="X36" s="32" t="str">
        <x:v>Re-mapped approved scan destination</x:v>
      </x:c>
      <x:c r="Y36" s="32" t="str">
        <x:v>Folder mapping lost</x:v>
      </x:c>
      <x:c r="Z36" s="32" t="str">
        <x:v>KB-030</x:v>
      </x:c>
      <x:c r="AA36" s="75" t="n">
        <x:v>5</x:v>
      </x:c>
      <x:c r="AB36" s="32" t="str">
        <x:v>No</x:v>
      </x:c>
      <x:c r="AC36" s="32" t="str"/>
    </x:row>
    <x:row r="37">
      <x:c r="A37" s="32" t="str">
        <x:v>IT-2026-029</x:v>
      </x:c>
      <x:c r="B37" s="55" t="n">
        <x:v>46235.32430555556</x:v>
      </x:c>
      <x:c r="C37" s="32" t="str">
        <x:v>UE015</x:v>
      </x:c>
      <x:c r="D37" s="32" t="str">
        <x:f>IFERROR(VLOOKUP(C37,Employee_Master!$A$2:$N$31,2,FALSE),"")</x:f>
        <x:v>Demo Employee 15</x:v>
      </x:c>
      <x:c r="E37" s="32" t="str">
        <x:f>IFERROR(VLOOKUP(C37,Employee_Master!$A$2:$N$31,4,FALSE),"")</x:f>
        <x:v>Finance</x:v>
      </x:c>
      <x:c r="F37" s="32" t="str">
        <x:f>IFERROR(VLOOKUP(C37,Employee_Master!$A$2:$N$31,6,FALSE),"")</x:f>
        <x:v>Pooraka Head Office</x:v>
      </x:c>
      <x:c r="G37" s="32" t="str">
        <x:v>Email</x:v>
      </x:c>
      <x:c r="H37" s="32" t="str">
        <x:v>Mobile Device</x:v>
      </x:c>
      <x:c r="I37" s="32" t="str">
        <x:v>Storage</x:v>
      </x:c>
      <x:c r="J37" s="32" t="str">
        <x:v>Site photos cannot upload from phone</x:v>
      </x:c>
      <x:c r="K37" s="32" t="str">
        <x:v>Medium</x:v>
      </x:c>
      <x:c r="L37" s="32" t="str">
        <x:v>High</x:v>
      </x:c>
      <x:c r="M37" s="32" t="str">
        <x:f>IFERROR(INDEX(Helpdesk_Setup!$B$5:$D$7,MATCH(K37,Helpdesk_Setup!$A$5:$A$7,0),MATCH(L37,Helpdesk_Setup!$B$4:$D$4,0)),"")</x:f>
        <x:v>P2</x:v>
      </x:c>
      <x:c r="N37" s="32" t="str">
        <x:v>Resolved</x:v>
      </x:c>
      <x:c r="O37" s="32" t="str">
        <x:v>UE030</x:v>
      </x:c>
      <x:c r="P37" s="55" t="n">
        <x:v>46235.37013888889</x:v>
      </x:c>
      <x:c r="Q37" s="55" t="n">
        <x:v>46235.72430555556</x:v>
      </x:c>
      <x:c r="R37" s="74" t="n">
        <x:f>IFERROR(VLOOKUP(M37,Helpdesk_Setup!$F$5:$H$8,2,FALSE),"")</x:f>
        <x:v>1</x:v>
      </x:c>
      <x:c r="S37" s="74" t="n">
        <x:f>IFERROR(VLOOKUP(M37,Helpdesk_Setup!$F$5:$H$8,3,FALSE),"")</x:f>
        <x:v>8</x:v>
      </x:c>
      <x:c r="T37" s="74" t="n">
        <x:f>IF(P37="",(Helpdesk_Setup!$G$12-B37)*24,(P37-B37)*24)</x:f>
        <x:v>1.0999999999185093</x:v>
      </x:c>
      <x:c r="U37" s="74" t="n">
        <x:f>IF(Q37="",(Helpdesk_Setup!$G$12-B37)*24,(Q37-B37)*24)</x:f>
        <x:v>9.600000000034925</x:v>
      </x:c>
      <x:c r="V37" s="32" t="str">
        <x:f>IF(T37&lt;=R37,"Met","Breached")</x:f>
        <x:v>Breached</x:v>
      </x:c>
      <x:c r="W37" s="32" t="str">
        <x:f>IF(U37&lt;=S37,"Met","Breached")</x:f>
        <x:v>Breached</x:v>
      </x:c>
      <x:c r="X37" s="32" t="str">
        <x:v>Archived approved files and restored upload capacity</x:v>
      </x:c>
      <x:c r="Y37" s="32" t="str">
        <x:v>Device storage full</x:v>
      </x:c>
      <x:c r="Z37" s="32" t="str">
        <x:v>KB-028</x:v>
      </x:c>
      <x:c r="AA37" s="75" t="n">
        <x:v>4</x:v>
      </x:c>
      <x:c r="AB37" s="32" t="str">
        <x:v>No</x:v>
      </x:c>
      <x:c r="AC37" s="32" t="str">
        <x:v>Construction-workflow example using fictional project/support data.</x:v>
      </x:c>
    </x:row>
    <x:row r="38">
      <x:c r="A38" s="32" t="str">
        <x:v>IT-2026-030</x:v>
      </x:c>
      <x:c r="B38" s="55" t="n">
        <x:v>46235.66111111111</x:v>
      </x:c>
      <x:c r="C38" s="32" t="str">
        <x:v>UE010</x:v>
      </x:c>
      <x:c r="D38" s="32" t="str">
        <x:f>IFERROR(VLOOKUP(C38,Employee_Master!$A$2:$N$31,2,FALSE),"")</x:f>
        <x:v>Demo Employee 10</x:v>
      </x:c>
      <x:c r="E38" s="32" t="str">
        <x:f>IFERROR(VLOOKUP(C38,Employee_Master!$A$2:$N$31,4,FALSE),"")</x:f>
        <x:v>Sales</x:v>
      </x:c>
      <x:c r="F38" s="32" t="str">
        <x:f>IFERROR(VLOOKUP(C38,Employee_Master!$A$2:$N$31,6,FALSE),"")</x:f>
        <x:v>Pooraka Head Office</x:v>
      </x:c>
      <x:c r="G38" s="32" t="str">
        <x:v>Email</x:v>
      </x:c>
      <x:c r="H38" s="32" t="str">
        <x:v>Access &amp; Permissions</x:v>
      </x:c>
      <x:c r="I38" s="32" t="str">
        <x:v>Project Folder</x:v>
      </x:c>
      <x:c r="J38" s="32" t="str">
        <x:v>Unable to access project drawings folder</x:v>
      </x:c>
      <x:c r="K38" s="32" t="str">
        <x:v>Medium</x:v>
      </x:c>
      <x:c r="L38" s="32" t="str">
        <x:v>Medium</x:v>
      </x:c>
      <x:c r="M38" s="32" t="str">
        <x:f>IFERROR(INDEX(Helpdesk_Setup!$B$5:$D$7,MATCH(K38,Helpdesk_Setup!$A$5:$A$7,0),MATCH(L38,Helpdesk_Setup!$B$4:$D$4,0)),"")</x:f>
        <x:v>P3</x:v>
      </x:c>
      <x:c r="N38" s="32" t="str">
        <x:v>Closed</x:v>
      </x:c>
      <x:c r="O38" s="32" t="str">
        <x:v>UE030</x:v>
      </x:c>
      <x:c r="P38" s="55" t="n">
        <x:v>46235.84444444445</x:v>
      </x:c>
      <x:c r="Q38" s="55" t="n">
        <x:v>46235.91111111111</x:v>
      </x:c>
      <x:c r="R38" s="74" t="n">
        <x:f>IFERROR(VLOOKUP(M38,Helpdesk_Setup!$F$5:$H$8,2,FALSE),"")</x:f>
        <x:v>4</x:v>
      </x:c>
      <x:c r="S38" s="74" t="n">
        <x:f>IFERROR(VLOOKUP(M38,Helpdesk_Setup!$F$5:$H$8,3,FALSE),"")</x:f>
        <x:v>24</x:v>
      </x:c>
      <x:c r="T38" s="74" t="n">
        <x:f>IF(P38="",(Helpdesk_Setup!$G$12-B38)*24,(P38-B38)*24)</x:f>
        <x:v>4.400000000023283</x:v>
      </x:c>
      <x:c r="U38" s="74" t="n">
        <x:f>IF(Q38="",(Helpdesk_Setup!$G$12-B38)*24,(Q38-B38)*24)</x:f>
        <x:v>6</x:v>
      </x:c>
      <x:c r="V38" s="32" t="str">
        <x:f>IF(T38&lt;=R38,"Met","Breached")</x:f>
        <x:v>Breached</x:v>
      </x:c>
      <x:c r="W38" s="32" t="str">
        <x:f>IF(U38&lt;=S38,"Met","Breached")</x:f>
        <x:v>Met</x:v>
      </x:c>
      <x:c r="X38" s="32" t="str">
        <x:v>Added user to approved SharePoint project group</x:v>
      </x:c>
      <x:c r="Y38" s="32" t="str">
        <x:v>Missing project-group membership</x:v>
      </x:c>
      <x:c r="Z38" s="32" t="str">
        <x:v>KB-024</x:v>
      </x:c>
      <x:c r="AA38" s="75" t="n">
        <x:v>4</x:v>
      </x:c>
      <x:c r="AB38" s="32" t="str">
        <x:v>Yes</x:v>
      </x:c>
      <x:c r="AC38" s="32" t="str">
        <x:v>Construction-workflow example using fictional project/support data.</x:v>
      </x:c>
    </x:row>
    <x:row r="39">
      <x:c r="A39" s="32" t="str">
        <x:v>IT-2026-031</x:v>
      </x:c>
      <x:c r="B39" s="55" t="n">
        <x:v>46237.02916666667</x:v>
      </x:c>
      <x:c r="C39" s="32" t="str">
        <x:v>UE019</x:v>
      </x:c>
      <x:c r="D39" s="32" t="str">
        <x:f>IFERROR(VLOOKUP(C39,Employee_Master!$A$2:$N$31,2,FALSE),"")</x:f>
        <x:v>Demo Employee 19</x:v>
      </x:c>
      <x:c r="E39" s="32" t="str">
        <x:f>IFERROR(VLOOKUP(C39,Employee_Master!$A$2:$N$31,4,FALSE),"")</x:f>
        <x:v>Estimating &amp; Planning</x:v>
      </x:c>
      <x:c r="F39" s="32" t="str">
        <x:f>IFERROR(VLOOKUP(C39,Employee_Master!$A$2:$N$31,6,FALSE),"")</x:f>
        <x:v>Pooraka Head Office</x:v>
      </x:c>
      <x:c r="G39" s="32" t="str">
        <x:v>Phone</x:v>
      </x:c>
      <x:c r="H39" s="32" t="str">
        <x:v>Hardware</x:v>
      </x:c>
      <x:c r="I39" s="32" t="str">
        <x:v>Laptop</x:v>
      </x:c>
      <x:c r="J39" s="32" t="str">
        <x:v>Laptop will not power on</x:v>
      </x:c>
      <x:c r="K39" s="32" t="str">
        <x:v>High</x:v>
      </x:c>
      <x:c r="L39" s="32" t="str">
        <x:v>Low</x:v>
      </x:c>
      <x:c r="M39" s="32" t="str">
        <x:f>IFERROR(INDEX(Helpdesk_Setup!$B$5:$D$7,MATCH(K39,Helpdesk_Setup!$A$5:$A$7,0),MATCH(L39,Helpdesk_Setup!$B$4:$D$4,0)),"")</x:f>
        <x:v>P3</x:v>
      </x:c>
      <x:c r="N39" s="32" t="str">
        <x:v>Closed</x:v>
      </x:c>
      <x:c r="O39" s="32" t="str">
        <x:v>UE030</x:v>
      </x:c>
      <x:c r="P39" s="55" t="n">
        <x:v>46237.2125</x:v>
      </x:c>
      <x:c r="Q39" s="55" t="n">
        <x:v>46237.27916666667</x:v>
      </x:c>
      <x:c r="R39" s="74" t="n">
        <x:f>IFERROR(VLOOKUP(M39,Helpdesk_Setup!$F$5:$H$8,2,FALSE),"")</x:f>
        <x:v>4</x:v>
      </x:c>
      <x:c r="S39" s="74" t="n">
        <x:f>IFERROR(VLOOKUP(M39,Helpdesk_Setup!$F$5:$H$8,3,FALSE),"")</x:f>
        <x:v>24</x:v>
      </x:c>
      <x:c r="T39" s="74" t="n">
        <x:f>IF(P39="",(Helpdesk_Setup!$G$12-B39)*24,(P39-B39)*24)</x:f>
        <x:v>4.400000000023283</x:v>
      </x:c>
      <x:c r="U39" s="74" t="n">
        <x:f>IF(Q39="",(Helpdesk_Setup!$G$12-B39)*24,(Q39-B39)*24)</x:f>
        <x:v>6</x:v>
      </x:c>
      <x:c r="V39" s="32" t="str">
        <x:f>IF(T39&lt;=R39,"Met","Breached")</x:f>
        <x:v>Breached</x:v>
      </x:c>
      <x:c r="W39" s="32" t="str">
        <x:f>IF(U39&lt;=S39,"Met","Breached")</x:f>
        <x:v>Met</x:v>
      </x:c>
      <x:c r="X39" s="32" t="str">
        <x:v>Tested replacement adapter and restored power</x:v>
      </x:c>
      <x:c r="Y39" s="32" t="str">
        <x:v>Power adapter issue</x:v>
      </x:c>
      <x:c r="Z39" s="32" t="str">
        <x:v>KB-026</x:v>
      </x:c>
      <x:c r="AA39" s="75" t="n">
        <x:v>4</x:v>
      </x:c>
      <x:c r="AB39" s="32" t="str">
        <x:v>Yes</x:v>
      </x:c>
      <x:c r="AC39" s="32" t="str"/>
    </x:row>
    <x:row r="40">
      <x:c r="A40" s="32" t="str">
        <x:v>IT-2026-032</x:v>
      </x:c>
      <x:c r="B40" s="55" t="n">
        <x:v>46238.93541666667</x:v>
      </x:c>
      <x:c r="C40" s="32" t="str">
        <x:v>UE003</x:v>
      </x:c>
      <x:c r="D40" s="32" t="str">
        <x:f>IFERROR(VLOOKUP(C40,Employee_Master!$A$2:$N$31,2,FALSE),"")</x:f>
        <x:v>Demo Employee 03</x:v>
      </x:c>
      <x:c r="E40" s="32" t="str">
        <x:f>IFERROR(VLOOKUP(C40,Employee_Master!$A$2:$N$31,4,FALSE),"")</x:f>
        <x:v>Management</x:v>
      </x:c>
      <x:c r="F40" s="32" t="str">
        <x:f>IFERROR(VLOOKUP(C40,Employee_Master!$A$2:$N$31,6,FALSE),"")</x:f>
        <x:v>Pooraka Head Office</x:v>
      </x:c>
      <x:c r="G40" s="32" t="str">
        <x:v>Teams</x:v>
      </x:c>
      <x:c r="H40" s="32" t="str">
        <x:v>Network &amp; Wi-Fi</x:v>
      </x:c>
      <x:c r="I40" s="32" t="str">
        <x:v>Wi-Fi</x:v>
      </x:c>
      <x:c r="J40" s="32" t="str">
        <x:v>Laptop repeatedly disconnects from office Wi-Fi</x:v>
      </x:c>
      <x:c r="K40" s="32" t="str">
        <x:v>Medium</x:v>
      </x:c>
      <x:c r="L40" s="32" t="str">
        <x:v>Low</x:v>
      </x:c>
      <x:c r="M40" s="32" t="str">
        <x:f>IFERROR(INDEX(Helpdesk_Setup!$B$5:$D$7,MATCH(K40,Helpdesk_Setup!$A$5:$A$7,0),MATCH(L40,Helpdesk_Setup!$B$4:$D$4,0)),"")</x:f>
        <x:v>P4</x:v>
      </x:c>
      <x:c r="N40" s="32" t="str">
        <x:v>Closed</x:v>
      </x:c>
      <x:c r="O40" s="32" t="str">
        <x:v>UE030</x:v>
      </x:c>
      <x:c r="P40" s="55" t="n">
        <x:v>46239.302083333336</x:v>
      </x:c>
      <x:c r="Q40" s="55" t="n">
        <x:v>46240.285416666666</x:v>
      </x:c>
      <x:c r="R40" s="74" t="n">
        <x:f>IFERROR(VLOOKUP(M40,Helpdesk_Setup!$F$5:$H$8,2,FALSE),"")</x:f>
        <x:v>8</x:v>
      </x:c>
      <x:c r="S40" s="74" t="n">
        <x:f>IFERROR(VLOOKUP(M40,Helpdesk_Setup!$F$5:$H$8,3,FALSE),"")</x:f>
        <x:v>72</x:v>
      </x:c>
      <x:c r="T40" s="74" t="n">
        <x:f>IF(P40="",(Helpdesk_Setup!$G$12-B40)*24,(P40-B40)*24)</x:f>
        <x:v>8.800000000046566</x:v>
      </x:c>
      <x:c r="U40" s="74" t="n">
        <x:f>IF(Q40="",(Helpdesk_Setup!$G$12-B40)*24,(Q40-B40)*24)</x:f>
        <x:v>32.399999999965075</x:v>
      </x:c>
      <x:c r="V40" s="32" t="str">
        <x:f>IF(T40&lt;=R40,"Met","Breached")</x:f>
        <x:v>Breached</x:v>
      </x:c>
      <x:c r="W40" s="32" t="str">
        <x:f>IF(U40&lt;=S40,"Met","Breached")</x:f>
        <x:v>Met</x:v>
      </x:c>
      <x:c r="X40" s="32" t="str">
        <x:v>Removed and recreated corporate Wi-Fi profile</x:v>
      </x:c>
      <x:c r="Y40" s="32" t="str">
        <x:v>Saved Wi-Fi profile issue</x:v>
      </x:c>
      <x:c r="Z40" s="32" t="str">
        <x:v>KB-016</x:v>
      </x:c>
      <x:c r="AA40" s="75" t="n">
        <x:v>5</x:v>
      </x:c>
      <x:c r="AB40" s="32" t="str">
        <x:v>Yes</x:v>
      </x:c>
      <x:c r="AC40" s="32" t="str"/>
    </x:row>
    <x:row r="41">
      <x:c r="A41" s="32" t="str">
        <x:v>IT-2026-033</x:v>
      </x:c>
      <x:c r="B41" s="55" t="n">
        <x:v>46242.53958333333</x:v>
      </x:c>
      <x:c r="C41" s="32" t="str">
        <x:v>UE003</x:v>
      </x:c>
      <x:c r="D41" s="32" t="str">
        <x:f>IFERROR(VLOOKUP(C41,Employee_Master!$A$2:$N$31,2,FALSE),"")</x:f>
        <x:v>Demo Employee 03</x:v>
      </x:c>
      <x:c r="E41" s="32" t="str">
        <x:f>IFERROR(VLOOKUP(C41,Employee_Master!$A$2:$N$31,4,FALSE),"")</x:f>
        <x:v>Management</x:v>
      </x:c>
      <x:c r="F41" s="32" t="str">
        <x:f>IFERROR(VLOOKUP(C41,Employee_Master!$A$2:$N$31,6,FALSE),"")</x:f>
        <x:v>Pooraka Head Office</x:v>
      </x:c>
      <x:c r="G41" s="32" t="str">
        <x:v>Phone</x:v>
      </x:c>
      <x:c r="H41" s="32" t="str">
        <x:v>Cybersecurity</x:v>
      </x:c>
      <x:c r="I41" s="32" t="str">
        <x:v>Device</x:v>
      </x:c>
      <x:c r="J41" s="32" t="str">
        <x:v>Defender reports potentially unwanted application</x:v>
      </x:c>
      <x:c r="K41" s="32" t="str">
        <x:v>Medium</x:v>
      </x:c>
      <x:c r="L41" s="32" t="str">
        <x:v>High</x:v>
      </x:c>
      <x:c r="M41" s="32" t="str">
        <x:f>IFERROR(INDEX(Helpdesk_Setup!$B$5:$D$7,MATCH(K41,Helpdesk_Setup!$A$5:$A$7,0),MATCH(L41,Helpdesk_Setup!$B$4:$D$4,0)),"")</x:f>
        <x:v>P2</x:v>
      </x:c>
      <x:c r="N41" s="32" t="str">
        <x:v>Closed</x:v>
      </x:c>
      <x:c r="O41" s="32" t="str">
        <x:v>UE030</x:v>
      </x:c>
      <x:c r="P41" s="55" t="n">
        <x:v>46242.56875</x:v>
      </x:c>
      <x:c r="Q41" s="55" t="n">
        <x:v>46242.77291666667</x:v>
      </x:c>
      <x:c r="R41" s="74" t="n">
        <x:f>IFERROR(VLOOKUP(M41,Helpdesk_Setup!$F$5:$H$8,2,FALSE),"")</x:f>
        <x:v>1</x:v>
      </x:c>
      <x:c r="S41" s="74" t="n">
        <x:f>IFERROR(VLOOKUP(M41,Helpdesk_Setup!$F$5:$H$8,3,FALSE),"")</x:f>
        <x:v>8</x:v>
      </x:c>
      <x:c r="T41" s="74" t="n">
        <x:f>IF(P41="",(Helpdesk_Setup!$G$12-B41)*24,(P41-B41)*24)</x:f>
        <x:v>0.7000000000116415</x:v>
      </x:c>
      <x:c r="U41" s="74" t="n">
        <x:f>IF(Q41="",(Helpdesk_Setup!$G$12-B41)*24,(Q41-B41)*24)</x:f>
        <x:v>5.600000000093132</x:v>
      </x:c>
      <x:c r="V41" s="32" t="str">
        <x:f>IF(T41&lt;=R41,"Met","Breached")</x:f>
        <x:v>Met</x:v>
      </x:c>
      <x:c r="W41" s="32" t="str">
        <x:f>IF(U41&lt;=S41,"Met","Breached")</x:f>
        <x:v>Met</x:v>
      </x:c>
      <x:c r="X41" s="32" t="str">
        <x:v>Removed application and completed Defender scan</x:v>
      </x:c>
      <x:c r="Y41" s="32" t="str">
        <x:v>Unapproved browser utility</x:v>
      </x:c>
      <x:c r="Z41" s="32" t="str">
        <x:v>KB-020</x:v>
      </x:c>
      <x:c r="AA41" s="75" t="n">
        <x:v>5</x:v>
      </x:c>
      <x:c r="AB41" s="32" t="str">
        <x:v>No</x:v>
      </x:c>
      <x:c r="AC41" s="32" t="str">
        <x:v>Security-related mock case; no real incident data is represented.</x:v>
      </x:c>
    </x:row>
    <x:row r="42">
      <x:c r="A42" s="32" t="str">
        <x:v>IT-2026-034</x:v>
      </x:c>
      <x:c r="B42" s="55" t="n">
        <x:v>46242.75833333333</x:v>
      </x:c>
      <x:c r="C42" s="32" t="str">
        <x:v>UE008</x:v>
      </x:c>
      <x:c r="D42" s="32" t="str">
        <x:f>IFERROR(VLOOKUP(C42,Employee_Master!$A$2:$N$31,2,FALSE),"")</x:f>
        <x:v>Demo Employee 08</x:v>
      </x:c>
      <x:c r="E42" s="32" t="str">
        <x:f>IFERROR(VLOOKUP(C42,Employee_Master!$A$2:$N$31,4,FALSE),"")</x:f>
        <x:v>Sales</x:v>
      </x:c>
      <x:c r="F42" s="32" t="str">
        <x:f>IFERROR(VLOOKUP(C42,Employee_Master!$A$2:$N$31,6,FALSE),"")</x:f>
        <x:v>Pooraka Head Office</x:v>
      </x:c>
      <x:c r="G42" s="32" t="str">
        <x:v>Email</x:v>
      </x:c>
      <x:c r="H42" s="32" t="str">
        <x:v>Access &amp; Permissions</x:v>
      </x:c>
      <x:c r="I42" s="32" t="str">
        <x:v>Password</x:v>
      </x:c>
      <x:c r="J42" s="32" t="str">
        <x:v>Account locked after repeated sign-in attempts</x:v>
      </x:c>
      <x:c r="K42" s="32" t="str">
        <x:v>Medium</x:v>
      </x:c>
      <x:c r="L42" s="32" t="str">
        <x:v>Low</x:v>
      </x:c>
      <x:c r="M42" s="32" t="str">
        <x:f>IFERROR(INDEX(Helpdesk_Setup!$B$5:$D$7,MATCH(K42,Helpdesk_Setup!$A$5:$A$7,0),MATCH(L42,Helpdesk_Setup!$B$4:$D$4,0)),"")</x:f>
        <x:v>P4</x:v>
      </x:c>
      <x:c r="N42" s="32" t="str">
        <x:v>Closed</x:v>
      </x:c>
      <x:c r="O42" s="32" t="str">
        <x:v>UE030</x:v>
      </x:c>
      <x:c r="P42" s="55" t="n">
        <x:v>46242.99166666667</x:v>
      </x:c>
      <x:c r="Q42" s="55" t="n">
        <x:v>46245.458333333336</x:v>
      </x:c>
      <x:c r="R42" s="74" t="n">
        <x:f>IFERROR(VLOOKUP(M42,Helpdesk_Setup!$F$5:$H$8,2,FALSE),"")</x:f>
        <x:v>8</x:v>
      </x:c>
      <x:c r="S42" s="74" t="n">
        <x:f>IFERROR(VLOOKUP(M42,Helpdesk_Setup!$F$5:$H$8,3,FALSE),"")</x:f>
        <x:v>72</x:v>
      </x:c>
      <x:c r="T42" s="74" t="n">
        <x:f>IF(P42="",(Helpdesk_Setup!$G$12-B42)*24,(P42-B42)*24)</x:f>
        <x:v>5.600000000093132</x:v>
      </x:c>
      <x:c r="U42" s="74" t="n">
        <x:f>IF(Q42="",(Helpdesk_Setup!$G$12-B42)*24,(Q42-B42)*24)</x:f>
        <x:v>64.80000000010477</x:v>
      </x:c>
      <x:c r="V42" s="32" t="str">
        <x:f>IF(T42&lt;=R42,"Met","Breached")</x:f>
        <x:v>Met</x:v>
      </x:c>
      <x:c r="W42" s="32" t="str">
        <x:f>IF(U42&lt;=S42,"Met","Breached")</x:f>
        <x:v>Met</x:v>
      </x:c>
      <x:c r="X42" s="32" t="str">
        <x:v>Reset password and removed outdated stored credentials</x:v>
      </x:c>
      <x:c r="Y42" s="32" t="str">
        <x:v>Expired saved credentials</x:v>
      </x:c>
      <x:c r="Z42" s="32" t="str">
        <x:v>KB-006</x:v>
      </x:c>
      <x:c r="AA42" s="75" t="n">
        <x:v>5</x:v>
      </x:c>
      <x:c r="AB42" s="32" t="str">
        <x:v>No</x:v>
      </x:c>
      <x:c r="AC42" s="32" t="str"/>
    </x:row>
    <x:row r="43">
      <x:c r="A43" s="32" t="str">
        <x:v>IT-2026-035</x:v>
      </x:c>
      <x:c r="B43" s="55" t="n">
        <x:v>46242.82083333333</x:v>
      </x:c>
      <x:c r="C43" s="32" t="str">
        <x:v>UE003</x:v>
      </x:c>
      <x:c r="D43" s="32" t="str">
        <x:f>IFERROR(VLOOKUP(C43,Employee_Master!$A$2:$N$31,2,FALSE),"")</x:f>
        <x:v>Demo Employee 03</x:v>
      </x:c>
      <x:c r="E43" s="32" t="str">
        <x:f>IFERROR(VLOOKUP(C43,Employee_Master!$A$2:$N$31,4,FALSE),"")</x:f>
        <x:v>Management</x:v>
      </x:c>
      <x:c r="F43" s="32" t="str">
        <x:f>IFERROR(VLOOKUP(C43,Employee_Master!$A$2:$N$31,6,FALSE),"")</x:f>
        <x:v>Pooraka Head Office</x:v>
      </x:c>
      <x:c r="G43" s="32" t="str">
        <x:v>Email</x:v>
      </x:c>
      <x:c r="H43" s="32" t="str">
        <x:v>Software</x:v>
      </x:c>
      <x:c r="I43" s="32" t="str">
        <x:v>Browser</x:v>
      </x:c>
      <x:c r="J43" s="32" t="str">
        <x:v>Internal web application not loading</x:v>
      </x:c>
      <x:c r="K43" s="32" t="str">
        <x:v>High</x:v>
      </x:c>
      <x:c r="L43" s="32" t="str">
        <x:v>Low</x:v>
      </x:c>
      <x:c r="M43" s="32" t="str">
        <x:f>IFERROR(INDEX(Helpdesk_Setup!$B$5:$D$7,MATCH(K43,Helpdesk_Setup!$A$5:$A$7,0),MATCH(L43,Helpdesk_Setup!$B$4:$D$4,0)),"")</x:f>
        <x:v>P3</x:v>
      </x:c>
      <x:c r="N43" s="32" t="str">
        <x:v>Resolved</x:v>
      </x:c>
      <x:c r="O43" s="32" t="str">
        <x:v>UE030</x:v>
      </x:c>
      <x:c r="P43" s="55" t="n">
        <x:v>46242.8625</x:v>
      </x:c>
      <x:c r="Q43" s="55" t="n">
        <x:v>46243.07083333333</x:v>
      </x:c>
      <x:c r="R43" s="74" t="n">
        <x:f>IFERROR(VLOOKUP(M43,Helpdesk_Setup!$F$5:$H$8,2,FALSE),"")</x:f>
        <x:v>4</x:v>
      </x:c>
      <x:c r="S43" s="74" t="n">
        <x:f>IFERROR(VLOOKUP(M43,Helpdesk_Setup!$F$5:$H$8,3,FALSE),"")</x:f>
        <x:v>24</x:v>
      </x:c>
      <x:c r="T43" s="74" t="n">
        <x:f>IF(P43="",(Helpdesk_Setup!$G$12-B43)*24,(P43-B43)*24)</x:f>
        <x:v>1.0000000001164153</x:v>
      </x:c>
      <x:c r="U43" s="74" t="n">
        <x:f>IF(Q43="",(Helpdesk_Setup!$G$12-B43)*24,(Q43-B43)*24)</x:f>
        <x:v>6</x:v>
      </x:c>
      <x:c r="V43" s="32" t="str">
        <x:f>IF(T43&lt;=R43,"Met","Breached")</x:f>
        <x:v>Met</x:v>
      </x:c>
      <x:c r="W43" s="32" t="str">
        <x:f>IF(U43&lt;=S43,"Met","Breached")</x:f>
        <x:v>Met</x:v>
      </x:c>
      <x:c r="X43" s="32" t="str">
        <x:v>Disabled conflicting extension and tested access</x:v>
      </x:c>
      <x:c r="Y43" s="32" t="str">
        <x:v>Unsupported browser extension</x:v>
      </x:c>
      <x:c r="Z43" s="32" t="str">
        <x:v>KB-027</x:v>
      </x:c>
      <x:c r="AA43" s="75" t="n">
        <x:v>5</x:v>
      </x:c>
      <x:c r="AB43" s="32" t="str">
        <x:v>No</x:v>
      </x:c>
      <x:c r="AC43" s="32" t="str"/>
    </x:row>
    <x:row r="44">
      <x:c r="A44" s="32" t="str">
        <x:v>IT-2026-036</x:v>
      </x:c>
      <x:c r="B44" s="55" t="n">
        <x:v>46245.24166666667</x:v>
      </x:c>
      <x:c r="C44" s="32" t="str">
        <x:v>UE005</x:v>
      </x:c>
      <x:c r="D44" s="32" t="str">
        <x:f>IFERROR(VLOOKUP(C44,Employee_Master!$A$2:$N$31,2,FALSE),"")</x:f>
        <x:v>Demo Employee 05</x:v>
      </x:c>
      <x:c r="E44" s="32" t="str">
        <x:f>IFERROR(VLOOKUP(C44,Employee_Master!$A$2:$N$31,4,FALSE),"")</x:f>
        <x:v>Administration</x:v>
      </x:c>
      <x:c r="F44" s="32" t="str">
        <x:f>IFERROR(VLOOKUP(C44,Employee_Master!$A$2:$N$31,6,FALSE),"")</x:f>
        <x:v>Pooraka Head Office</x:v>
      </x:c>
      <x:c r="G44" s="32" t="str">
        <x:v>Form</x:v>
      </x:c>
      <x:c r="H44" s="32" t="str">
        <x:v>Mobile Device</x:v>
      </x:c>
      <x:c r="I44" s="32" t="str">
        <x:v>Email</x:v>
      </x:c>
      <x:c r="J44" s="32" t="str">
        <x:v>Company phone not receiving Outlook email</x:v>
      </x:c>
      <x:c r="K44" s="32" t="str">
        <x:v>Medium</x:v>
      </x:c>
      <x:c r="L44" s="32" t="str">
        <x:v>Medium</x:v>
      </x:c>
      <x:c r="M44" s="32" t="str">
        <x:f>IFERROR(INDEX(Helpdesk_Setup!$B$5:$D$7,MATCH(K44,Helpdesk_Setup!$A$5:$A$7,0),MATCH(L44,Helpdesk_Setup!$B$4:$D$4,0)),"")</x:f>
        <x:v>P3</x:v>
      </x:c>
      <x:c r="N44" s="32" t="str">
        <x:v>Closed</x:v>
      </x:c>
      <x:c r="O44" s="32" t="str">
        <x:v>UE030</x:v>
      </x:c>
      <x:c r="P44" s="55" t="n">
        <x:v>46245.35833333333</x:v>
      </x:c>
      <x:c r="Q44" s="55" t="n">
        <x:v>46245.941666666666</x:v>
      </x:c>
      <x:c r="R44" s="74" t="n">
        <x:f>IFERROR(VLOOKUP(M44,Helpdesk_Setup!$F$5:$H$8,2,FALSE),"")</x:f>
        <x:v>4</x:v>
      </x:c>
      <x:c r="S44" s="74" t="n">
        <x:f>IFERROR(VLOOKUP(M44,Helpdesk_Setup!$F$5:$H$8,3,FALSE),"")</x:f>
        <x:v>24</x:v>
      </x:c>
      <x:c r="T44" s="74" t="n">
        <x:f>IF(P44="",(Helpdesk_Setup!$G$12-B44)*24,(P44-B44)*24)</x:f>
        <x:v>2.799999999871943</x:v>
      </x:c>
      <x:c r="U44" s="74" t="n">
        <x:f>IF(Q44="",(Helpdesk_Setup!$G$12-B44)*24,(Q44-B44)*24)</x:f>
        <x:v>16.79999999993015</x:v>
      </x:c>
      <x:c r="V44" s="32" t="str">
        <x:f>IF(T44&lt;=R44,"Met","Breached")</x:f>
        <x:v>Met</x:v>
      </x:c>
      <x:c r="W44" s="32" t="str">
        <x:f>IF(U44&lt;=S44,"Met","Breached")</x:f>
        <x:v>Met</x:v>
      </x:c>
      <x:c r="X44" s="32" t="str">
        <x:v>Re-authenticated Outlook mobile account</x:v>
      </x:c>
      <x:c r="Y44" s="32" t="str">
        <x:v>Expired mobile sign-in token</x:v>
      </x:c>
      <x:c r="Z44" s="32" t="str">
        <x:v>KB-022</x:v>
      </x:c>
      <x:c r="AA44" s="75" t="n">
        <x:v>5</x:v>
      </x:c>
      <x:c r="AB44" s="32" t="str">
        <x:v>No</x:v>
      </x:c>
      <x:c r="AC44" s="32" t="str"/>
    </x:row>
    <x:row r="45">
      <x:c r="A45" s="32" t="str">
        <x:v>IT-2026-037</x:v>
      </x:c>
      <x:c r="B45" s="55" t="n">
        <x:v>46250.35208333333</x:v>
      </x:c>
      <x:c r="C45" s="32" t="str">
        <x:v>UE023</x:v>
      </x:c>
      <x:c r="D45" s="32" t="str">
        <x:f>IFERROR(VLOOKUP(C45,Employee_Master!$A$2:$N$31,2,FALSE),"")</x:f>
        <x:v>Demo Employee 23</x:v>
      </x:c>
      <x:c r="E45" s="32" t="str">
        <x:f>IFERROR(VLOOKUP(C45,Employee_Master!$A$2:$N$31,4,FALSE),"")</x:f>
        <x:v>Construction &amp; Project Management</x:v>
      </x:c>
      <x:c r="F45" s="32" t="str">
        <x:f>IFERROR(VLOOKUP(C45,Employee_Master!$A$2:$N$31,6,FALSE),"")</x:f>
        <x:v>Prospect Project</x:v>
      </x:c>
      <x:c r="G45" s="32" t="str">
        <x:v>Phone</x:v>
      </x:c>
      <x:c r="H45" s="32" t="str">
        <x:v>Microsoft 365</x:v>
      </x:c>
      <x:c r="I45" s="32" t="str">
        <x:v>OneDrive</x:v>
      </x:c>
      <x:c r="J45" s="32" t="str">
        <x:v>OneDrive stuck on syncing project files</x:v>
      </x:c>
      <x:c r="K45" s="32" t="str">
        <x:v>Medium</x:v>
      </x:c>
      <x:c r="L45" s="32" t="str">
        <x:v>High</x:v>
      </x:c>
      <x:c r="M45" s="32" t="str">
        <x:f>IFERROR(INDEX(Helpdesk_Setup!$B$5:$D$7,MATCH(K45,Helpdesk_Setup!$A$5:$A$7,0),MATCH(L45,Helpdesk_Setup!$B$4:$D$4,0)),"")</x:f>
        <x:v>P2</x:v>
      </x:c>
      <x:c r="N45" s="32" t="str">
        <x:v>Closed</x:v>
      </x:c>
      <x:c r="O45" s="32" t="str">
        <x:v>UE030</x:v>
      </x:c>
      <x:c r="P45" s="55" t="n">
        <x:v>46250.410416666666</x:v>
      </x:c>
      <x:c r="Q45" s="55" t="n">
        <x:v>46250.885416666664</x:v>
      </x:c>
      <x:c r="R45" s="74" t="n">
        <x:f>IFERROR(VLOOKUP(M45,Helpdesk_Setup!$F$5:$H$8,2,FALSE),"")</x:f>
        <x:v>1</x:v>
      </x:c>
      <x:c r="S45" s="74" t="n">
        <x:f>IFERROR(VLOOKUP(M45,Helpdesk_Setup!$F$5:$H$8,3,FALSE),"")</x:f>
        <x:v>8</x:v>
      </x:c>
      <x:c r="T45" s="74" t="n">
        <x:f>IF(P45="",(Helpdesk_Setup!$G$12-B45)*24,(P45-B45)*24)</x:f>
        <x:v>1.400000000023283</x:v>
      </x:c>
      <x:c r="U45" s="74" t="n">
        <x:f>IF(Q45="",(Helpdesk_Setup!$G$12-B45)*24,(Q45-B45)*24)</x:f>
        <x:v>12.799999999988358</x:v>
      </x:c>
      <x:c r="V45" s="32" t="str">
        <x:f>IF(T45&lt;=R45,"Met","Breached")</x:f>
        <x:v>Breached</x:v>
      </x:c>
      <x:c r="W45" s="32" t="str">
        <x:f>IF(U45&lt;=S45,"Met","Breached")</x:f>
        <x:v>Breached</x:v>
      </x:c>
      <x:c r="X45" s="32" t="str">
        <x:v>Cleared conflicting file and restarted OneDrive sync</x:v>
      </x:c>
      <x:c r="Y45" s="32" t="str">
        <x:v>Sync conflict</x:v>
      </x:c>
      <x:c r="Z45" s="32" t="str">
        <x:v>KB-002</x:v>
      </x:c>
      <x:c r="AA45" s="75" t="n">
        <x:v>5</x:v>
      </x:c>
      <x:c r="AB45" s="32" t="str">
        <x:v>No</x:v>
      </x:c>
      <x:c r="AC45" s="32" t="str">
        <x:v>Construction-workflow example using fictional project/support data.</x:v>
      </x:c>
    </x:row>
    <x:row r="46">
      <x:c r="A46" s="32" t="str">
        <x:v>IT-2026-038</x:v>
      </x:c>
      <x:c r="B46" s="55" t="n">
        <x:v>46253.955555555556</x:v>
      </x:c>
      <x:c r="C46" s="32" t="str">
        <x:v>UE004</x:v>
      </x:c>
      <x:c r="D46" s="32" t="str">
        <x:f>IFERROR(VLOOKUP(C46,Employee_Master!$A$2:$N$31,2,FALSE),"")</x:f>
        <x:v>Demo Employee 04</x:v>
      </x:c>
      <x:c r="E46" s="32" t="str">
        <x:f>IFERROR(VLOOKUP(C46,Employee_Master!$A$2:$N$31,4,FALSE),"")</x:f>
        <x:v>Administration</x:v>
      </x:c>
      <x:c r="F46" s="32" t="str">
        <x:f>IFERROR(VLOOKUP(C46,Employee_Master!$A$2:$N$31,6,FALSE),"")</x:f>
        <x:v>Pooraka Head Office</x:v>
      </x:c>
      <x:c r="G46" s="32" t="str">
        <x:v>Form</x:v>
      </x:c>
      <x:c r="H46" s="32" t="str">
        <x:v>Hardware</x:v>
      </x:c>
      <x:c r="I46" s="32" t="str">
        <x:v>Laptop</x:v>
      </x:c>
      <x:c r="J46" s="32" t="str">
        <x:v>Laptop running very slowly</x:v>
      </x:c>
      <x:c r="K46" s="32" t="str">
        <x:v>Medium</x:v>
      </x:c>
      <x:c r="L46" s="32" t="str">
        <x:v>Low</x:v>
      </x:c>
      <x:c r="M46" s="32" t="str">
        <x:f>IFERROR(INDEX(Helpdesk_Setup!$B$5:$D$7,MATCH(K46,Helpdesk_Setup!$A$5:$A$7,0),MATCH(L46,Helpdesk_Setup!$B$4:$D$4,0)),"")</x:f>
        <x:v>P4</x:v>
      </x:c>
      <x:c r="N46" s="32" t="str">
        <x:v>Closed</x:v>
      </x:c>
      <x:c r="O46" s="32" t="str">
        <x:v>UE030</x:v>
      </x:c>
      <x:c r="P46" s="55" t="n">
        <x:v>46254.03888888889</x:v>
      </x:c>
      <x:c r="Q46" s="55" t="n">
        <x:v>46257.555555555555</x:v>
      </x:c>
      <x:c r="R46" s="74" t="n">
        <x:f>IFERROR(VLOOKUP(M46,Helpdesk_Setup!$F$5:$H$8,2,FALSE),"")</x:f>
        <x:v>8</x:v>
      </x:c>
      <x:c r="S46" s="74" t="n">
        <x:f>IFERROR(VLOOKUP(M46,Helpdesk_Setup!$F$5:$H$8,3,FALSE),"")</x:f>
        <x:v>72</x:v>
      </x:c>
      <x:c r="T46" s="74" t="n">
        <x:f>IF(P46="",(Helpdesk_Setup!$G$12-B46)*24,(P46-B46)*24)</x:f>
        <x:v>2.0000000000582077</x:v>
      </x:c>
      <x:c r="U46" s="74" t="n">
        <x:f>IF(Q46="",(Helpdesk_Setup!$G$12-B46)*24,(Q46-B46)*24)</x:f>
        <x:v>86.39999999996508</x:v>
      </x:c>
      <x:c r="V46" s="32" t="str">
        <x:f>IF(T46&lt;=R46,"Met","Breached")</x:f>
        <x:v>Met</x:v>
      </x:c>
      <x:c r="W46" s="32" t="str">
        <x:f>IF(U46&lt;=S46,"Met","Breached")</x:f>
        <x:v>Breached</x:v>
      </x:c>
      <x:c r="X46" s="32" t="str">
        <x:v>Removed temporary files and completed Windows updates</x:v>
      </x:c>
      <x:c r="Y46" s="32" t="str">
        <x:v>Low disk space / pending updates</x:v>
      </x:c>
      <x:c r="Z46" s="32" t="str">
        <x:v>KB-011</x:v>
      </x:c>
      <x:c r="AA46" s="75" t="n">
        <x:v>5</x:v>
      </x:c>
      <x:c r="AB46" s="32" t="str">
        <x:v>No</x:v>
      </x:c>
      <x:c r="AC46" s="32" t="str"/>
    </x:row>
    <x:row r="47">
      <x:c r="A47" s="32" t="str">
        <x:v>IT-2026-039</x:v>
      </x:c>
      <x:c r="B47" s="55" t="n">
        <x:v>46253.99444444444</x:v>
      </x:c>
      <x:c r="C47" s="32" t="str">
        <x:v>UE020</x:v>
      </x:c>
      <x:c r="D47" s="32" t="str">
        <x:f>IFERROR(VLOOKUP(C47,Employee_Master!$A$2:$N$31,2,FALSE),"")</x:f>
        <x:v>Demo Employee 20</x:v>
      </x:c>
      <x:c r="E47" s="32" t="str">
        <x:f>IFERROR(VLOOKUP(C47,Employee_Master!$A$2:$N$31,4,FALSE),"")</x:f>
        <x:v>Construction &amp; Project Management</x:v>
      </x:c>
      <x:c r="F47" s="32" t="str">
        <x:f>IFERROR(VLOOKUP(C47,Employee_Master!$A$2:$N$31,6,FALSE),"")</x:f>
        <x:v>Pooraka Head Office</x:v>
      </x:c>
      <x:c r="G47" s="32" t="str">
        <x:v>Email</x:v>
      </x:c>
      <x:c r="H47" s="32" t="str">
        <x:v>Printer &amp; Scanner</x:v>
      </x:c>
      <x:c r="I47" s="32" t="str">
        <x:v>Scanner</x:v>
      </x:c>
      <x:c r="J47" s="32" t="str">
        <x:v>Scanned documents not saving to shared folder</x:v>
      </x:c>
      <x:c r="K47" s="32" t="str">
        <x:v>Low</x:v>
      </x:c>
      <x:c r="L47" s="32" t="str">
        <x:v>Medium</x:v>
      </x:c>
      <x:c r="M47" s="32" t="str">
        <x:f>IFERROR(INDEX(Helpdesk_Setup!$B$5:$D$7,MATCH(K47,Helpdesk_Setup!$A$5:$A$7,0),MATCH(L47,Helpdesk_Setup!$B$4:$D$4,0)),"")</x:f>
        <x:v>P4</x:v>
      </x:c>
      <x:c r="N47" s="32" t="str">
        <x:v>Closed</x:v>
      </x:c>
      <x:c r="O47" s="32" t="str">
        <x:v>UE030</x:v>
      </x:c>
      <x:c r="P47" s="55" t="n">
        <x:v>46254.46111111111</x:v>
      </x:c>
      <x:c r="Q47" s="55" t="n">
        <x:v>46258.794444444444</x:v>
      </x:c>
      <x:c r="R47" s="74" t="n">
        <x:f>IFERROR(VLOOKUP(M47,Helpdesk_Setup!$F$5:$H$8,2,FALSE),"")</x:f>
        <x:v>8</x:v>
      </x:c>
      <x:c r="S47" s="74" t="n">
        <x:f>IFERROR(VLOOKUP(M47,Helpdesk_Setup!$F$5:$H$8,3,FALSE),"")</x:f>
        <x:v>72</x:v>
      </x:c>
      <x:c r="T47" s="74" t="n">
        <x:f>IF(P47="",(Helpdesk_Setup!$G$12-B47)*24,(P47-B47)*24)</x:f>
        <x:v>11.200000000011642</x:v>
      </x:c>
      <x:c r="U47" s="74" t="n">
        <x:f>IF(Q47="",(Helpdesk_Setup!$G$12-B47)*24,(Q47-B47)*24)</x:f>
        <x:v>115.20000000006985</x:v>
      </x:c>
      <x:c r="V47" s="32" t="str">
        <x:f>IF(T47&lt;=R47,"Met","Breached")</x:f>
        <x:v>Breached</x:v>
      </x:c>
      <x:c r="W47" s="32" t="str">
        <x:f>IF(U47&lt;=S47,"Met","Breached")</x:f>
        <x:v>Breached</x:v>
      </x:c>
      <x:c r="X47" s="32" t="str">
        <x:v>Re-mapped approved scan destination</x:v>
      </x:c>
      <x:c r="Y47" s="32" t="str">
        <x:v>Folder mapping lost</x:v>
      </x:c>
      <x:c r="Z47" s="32" t="str">
        <x:v>KB-030</x:v>
      </x:c>
      <x:c r="AA47" s="75" t="n">
        <x:v>5</x:v>
      </x:c>
      <x:c r="AB47" s="32" t="str">
        <x:v>No</x:v>
      </x:c>
      <x:c r="AC47" s="32" t="str"/>
    </x:row>
    <x:row r="48">
      <x:c r="A48" s="32" t="str">
        <x:v>IT-2026-040</x:v>
      </x:c>
      <x:c r="B48" s="55" t="n">
        <x:v>46255.43958333333</x:v>
      </x:c>
      <x:c r="C48" s="32" t="str">
        <x:v>UE028</x:v>
      </x:c>
      <x:c r="D48" s="32" t="str">
        <x:f>IFERROR(VLOOKUP(C48,Employee_Master!$A$2:$N$31,2,FALSE),"")</x:f>
        <x:v>Demo Employee 28</x:v>
      </x:c>
      <x:c r="E48" s="32" t="str">
        <x:f>IFERROR(VLOOKUP(C48,Employee_Master!$A$2:$N$31,4,FALSE),"")</x:f>
        <x:v>Marketing</x:v>
      </x:c>
      <x:c r="F48" s="32" t="str">
        <x:f>IFERROR(VLOOKUP(C48,Employee_Master!$A$2:$N$31,6,FALSE),"")</x:f>
        <x:v>Pooraka Head Office</x:v>
      </x:c>
      <x:c r="G48" s="32" t="str">
        <x:v>Email</x:v>
      </x:c>
      <x:c r="H48" s="32" t="str">
        <x:v>Mobile Device</x:v>
      </x:c>
      <x:c r="I48" s="32" t="str">
        <x:v>Storage</x:v>
      </x:c>
      <x:c r="J48" s="32" t="str">
        <x:v>Site photos cannot upload from phone</x:v>
      </x:c>
      <x:c r="K48" s="32" t="str">
        <x:v>Medium</x:v>
      </x:c>
      <x:c r="L48" s="32" t="str">
        <x:v>High</x:v>
      </x:c>
      <x:c r="M48" s="32" t="str">
        <x:f>IFERROR(INDEX(Helpdesk_Setup!$B$5:$D$7,MATCH(K48,Helpdesk_Setup!$A$5:$A$7,0),MATCH(L48,Helpdesk_Setup!$B$4:$D$4,0)),"")</x:f>
        <x:v>P2</x:v>
      </x:c>
      <x:c r="N48" s="32" t="str">
        <x:v>Closed</x:v>
      </x:c>
      <x:c r="O48" s="32" t="str">
        <x:v>UE030</x:v>
      </x:c>
      <x:c r="P48" s="55" t="n">
        <x:v>46255.46875</x:v>
      </x:c>
      <x:c r="Q48" s="55" t="n">
        <x:v>46255.52291666667</x:v>
      </x:c>
      <x:c r="R48" s="74" t="n">
        <x:f>IFERROR(VLOOKUP(M48,Helpdesk_Setup!$F$5:$H$8,2,FALSE),"")</x:f>
        <x:v>1</x:v>
      </x:c>
      <x:c r="S48" s="74" t="n">
        <x:f>IFERROR(VLOOKUP(M48,Helpdesk_Setup!$F$5:$H$8,3,FALSE),"")</x:f>
        <x:v>8</x:v>
      </x:c>
      <x:c r="T48" s="74" t="n">
        <x:f>IF(P48="",(Helpdesk_Setup!$G$12-B48)*24,(P48-B48)*24)</x:f>
        <x:v>0.7000000000116415</x:v>
      </x:c>
      <x:c r="U48" s="74" t="n">
        <x:f>IF(Q48="",(Helpdesk_Setup!$G$12-B48)*24,(Q48-B48)*24)</x:f>
        <x:v>2.0000000000582077</x:v>
      </x:c>
      <x:c r="V48" s="32" t="str">
        <x:f>IF(T48&lt;=R48,"Met","Breached")</x:f>
        <x:v>Met</x:v>
      </x:c>
      <x:c r="W48" s="32" t="str">
        <x:f>IF(U48&lt;=S48,"Met","Breached")</x:f>
        <x:v>Met</x:v>
      </x:c>
      <x:c r="X48" s="32" t="str">
        <x:v>Archived approved files and restored upload capacity</x:v>
      </x:c>
      <x:c r="Y48" s="32" t="str">
        <x:v>Device storage full</x:v>
      </x:c>
      <x:c r="Z48" s="32" t="str">
        <x:v>KB-028</x:v>
      </x:c>
      <x:c r="AA48" s="75" t="n">
        <x:v>5</x:v>
      </x:c>
      <x:c r="AB48" s="32" t="str">
        <x:v>No</x:v>
      </x:c>
      <x:c r="AC48" s="32" t="str">
        <x:v>Construction-workflow example using fictional project/support data.</x:v>
      </x:c>
    </x:row>
    <x:row r="49">
      <x:c r="A49" s="32" t="str">
        <x:v>IT-2026-041</x:v>
      </x:c>
      <x:c r="B49" s="55" t="n">
        <x:v>46257.990277777775</x:v>
      </x:c>
      <x:c r="C49" s="32" t="str">
        <x:v>UE021</x:v>
      </x:c>
      <x:c r="D49" s="32" t="str">
        <x:f>IFERROR(VLOOKUP(C49,Employee_Master!$A$2:$N$31,2,FALSE),"")</x:f>
        <x:v>Demo Employee 21</x:v>
      </x:c>
      <x:c r="E49" s="32" t="str">
        <x:f>IFERROR(VLOOKUP(C49,Employee_Master!$A$2:$N$31,4,FALSE),"")</x:f>
        <x:v>Construction &amp; Project Management</x:v>
      </x:c>
      <x:c r="F49" s="32" t="str">
        <x:f>IFERROR(VLOOKUP(C49,Employee_Master!$A$2:$N$31,6,FALSE),"")</x:f>
        <x:v>Prospect Project</x:v>
      </x:c>
      <x:c r="G49" s="32" t="str">
        <x:v>Form</x:v>
      </x:c>
      <x:c r="H49" s="32" t="str">
        <x:v>Microsoft 365</x:v>
      </x:c>
      <x:c r="I49" s="32" t="str">
        <x:v>SharePoint</x:v>
      </x:c>
      <x:c r="J49" s="32" t="str">
        <x:v>SharePoint page not loading correctly</x:v>
      </x:c>
      <x:c r="K49" s="32" t="str">
        <x:v>Medium</x:v>
      </x:c>
      <x:c r="L49" s="32" t="str">
        <x:v>Low</x:v>
      </x:c>
      <x:c r="M49" s="32" t="str">
        <x:f>IFERROR(INDEX(Helpdesk_Setup!$B$5:$D$7,MATCH(K49,Helpdesk_Setup!$A$5:$A$7,0),MATCH(L49,Helpdesk_Setup!$B$4:$D$4,0)),"")</x:f>
        <x:v>P4</x:v>
      </x:c>
      <x:c r="N49" s="32" t="str">
        <x:v>Closed</x:v>
      </x:c>
      <x:c r="O49" s="32" t="str">
        <x:v>UE030</x:v>
      </x:c>
      <x:c r="P49" s="55" t="n">
        <x:v>46258.356944444444</x:v>
      </x:c>
      <x:c r="Q49" s="55" t="n">
        <x:v>46261.59027777778</x:v>
      </x:c>
      <x:c r="R49" s="74" t="n">
        <x:f>IFERROR(VLOOKUP(M49,Helpdesk_Setup!$F$5:$H$8,2,FALSE),"")</x:f>
        <x:v>8</x:v>
      </x:c>
      <x:c r="S49" s="74" t="n">
        <x:f>IFERROR(VLOOKUP(M49,Helpdesk_Setup!$F$5:$H$8,3,FALSE),"")</x:f>
        <x:v>72</x:v>
      </x:c>
      <x:c r="T49" s="74" t="n">
        <x:f>IF(P49="",(Helpdesk_Setup!$G$12-B49)*24,(P49-B49)*24)</x:f>
        <x:v>8.800000000046566</x:v>
      </x:c>
      <x:c r="U49" s="74" t="n">
        <x:f>IF(Q49="",(Helpdesk_Setup!$G$12-B49)*24,(Q49-B49)*24)</x:f>
        <x:v>86.4000000001397</x:v>
      </x:c>
      <x:c r="V49" s="32" t="str">
        <x:f>IF(T49&lt;=R49,"Met","Breached")</x:f>
        <x:v>Breached</x:v>
      </x:c>
      <x:c r="W49" s="32" t="str">
        <x:f>IF(U49&lt;=S49,"Met","Breached")</x:f>
        <x:v>Breached</x:v>
      </x:c>
      <x:c r="X49" s="32" t="str">
        <x:v>Cleared cache and verified Microsoft 365 session</x:v>
      </x:c>
      <x:c r="Y49" s="32" t="str">
        <x:v>Browser cache</x:v>
      </x:c>
      <x:c r="Z49" s="32" t="str">
        <x:v>KB-029</x:v>
      </x:c>
      <x:c r="AA49" s="75" t="n">
        <x:v>5</x:v>
      </x:c>
      <x:c r="AB49" s="32" t="str">
        <x:v>Yes</x:v>
      </x:c>
      <x:c r="AC49" s="32" t="str"/>
    </x:row>
    <x:row r="50">
      <x:c r="A50" s="32" t="str">
        <x:v>IT-2026-042</x:v>
      </x:c>
      <x:c r="B50" s="55" t="n">
        <x:v>46258.10208333333</x:v>
      </x:c>
      <x:c r="C50" s="32" t="str">
        <x:v>UE003</x:v>
      </x:c>
      <x:c r="D50" s="32" t="str">
        <x:f>IFERROR(VLOOKUP(C50,Employee_Master!$A$2:$N$31,2,FALSE),"")</x:f>
        <x:v>Demo Employee 03</x:v>
      </x:c>
      <x:c r="E50" s="32" t="str">
        <x:f>IFERROR(VLOOKUP(C50,Employee_Master!$A$2:$N$31,4,FALSE),"")</x:f>
        <x:v>Management</x:v>
      </x:c>
      <x:c r="F50" s="32" t="str">
        <x:f>IFERROR(VLOOKUP(C50,Employee_Master!$A$2:$N$31,6,FALSE),"")</x:f>
        <x:v>Pooraka Head Office</x:v>
      </x:c>
      <x:c r="G50" s="32" t="str">
        <x:v>Form</x:v>
      </x:c>
      <x:c r="H50" s="32" t="str">
        <x:v>Hardware</x:v>
      </x:c>
      <x:c r="I50" s="32" t="str">
        <x:v>Laptop</x:v>
      </x:c>
      <x:c r="J50" s="32" t="str">
        <x:v>Laptop will not power on</x:v>
      </x:c>
      <x:c r="K50" s="32" t="str">
        <x:v>Medium</x:v>
      </x:c>
      <x:c r="L50" s="32" t="str">
        <x:v>High</x:v>
      </x:c>
      <x:c r="M50" s="32" t="str">
        <x:f>IFERROR(INDEX(Helpdesk_Setup!$B$5:$D$7,MATCH(K50,Helpdesk_Setup!$A$5:$A$7,0),MATCH(L50,Helpdesk_Setup!$B$4:$D$4,0)),"")</x:f>
        <x:v>P2</x:v>
      </x:c>
      <x:c r="N50" s="32" t="str">
        <x:v>Resolved</x:v>
      </x:c>
      <x:c r="O50" s="32" t="str">
        <x:v>UE030</x:v>
      </x:c>
      <x:c r="P50" s="55" t="n">
        <x:v>46258.14791666667</x:v>
      </x:c>
      <x:c r="Q50" s="55" t="n">
        <x:v>46258.18541666667</x:v>
      </x:c>
      <x:c r="R50" s="74" t="n">
        <x:f>IFERROR(VLOOKUP(M50,Helpdesk_Setup!$F$5:$H$8,2,FALSE),"")</x:f>
        <x:v>1</x:v>
      </x:c>
      <x:c r="S50" s="74" t="n">
        <x:f>IFERROR(VLOOKUP(M50,Helpdesk_Setup!$F$5:$H$8,3,FALSE),"")</x:f>
        <x:v>8</x:v>
      </x:c>
      <x:c r="T50" s="74" t="n">
        <x:f>IF(P50="",(Helpdesk_Setup!$G$12-B50)*24,(P50-B50)*24)</x:f>
        <x:v>1.1000000000931323</x:v>
      </x:c>
      <x:c r="U50" s="74" t="n">
        <x:f>IF(Q50="",(Helpdesk_Setup!$G$12-B50)*24,(Q50-B50)*24)</x:f>
        <x:v>2.0000000000582077</x:v>
      </x:c>
      <x:c r="V50" s="32" t="str">
        <x:f>IF(T50&lt;=R50,"Met","Breached")</x:f>
        <x:v>Breached</x:v>
      </x:c>
      <x:c r="W50" s="32" t="str">
        <x:f>IF(U50&lt;=S50,"Met","Breached")</x:f>
        <x:v>Met</x:v>
      </x:c>
      <x:c r="X50" s="32" t="str">
        <x:v>Tested replacement adapter and restored power</x:v>
      </x:c>
      <x:c r="Y50" s="32" t="str">
        <x:v>Power adapter issue</x:v>
      </x:c>
      <x:c r="Z50" s="32" t="str">
        <x:v>KB-026</x:v>
      </x:c>
      <x:c r="AA50" s="75" t="n">
        <x:v>4</x:v>
      </x:c>
      <x:c r="AB50" s="32" t="str">
        <x:v>No</x:v>
      </x:c>
      <x:c r="AC50" s="32" t="str"/>
    </x:row>
    <x:row r="51">
      <x:c r="A51" s="32" t="str">
        <x:v>IT-2026-043</x:v>
      </x:c>
      <x:c r="B51" s="55" t="n">
        <x:v>46259.15069444444</x:v>
      </x:c>
      <x:c r="C51" s="32" t="str">
        <x:v>UE005</x:v>
      </x:c>
      <x:c r="D51" s="32" t="str">
        <x:f>IFERROR(VLOOKUP(C51,Employee_Master!$A$2:$N$31,2,FALSE),"")</x:f>
        <x:v>Demo Employee 05</x:v>
      </x:c>
      <x:c r="E51" s="32" t="str">
        <x:f>IFERROR(VLOOKUP(C51,Employee_Master!$A$2:$N$31,4,FALSE),"")</x:f>
        <x:v>Administration</x:v>
      </x:c>
      <x:c r="F51" s="32" t="str">
        <x:f>IFERROR(VLOOKUP(C51,Employee_Master!$A$2:$N$31,6,FALSE),"")</x:f>
        <x:v>Pooraka Head Office</x:v>
      </x:c>
      <x:c r="G51" s="32" t="str">
        <x:v>Phone</x:v>
      </x:c>
      <x:c r="H51" s="32" t="str">
        <x:v>Network &amp; Wi-Fi</x:v>
      </x:c>
      <x:c r="I51" s="32" t="str">
        <x:v>Wi-Fi</x:v>
      </x:c>
      <x:c r="J51" s="32" t="str">
        <x:v>Laptop repeatedly disconnects from office Wi-Fi</x:v>
      </x:c>
      <x:c r="K51" s="32" t="str">
        <x:v>Medium</x:v>
      </x:c>
      <x:c r="L51" s="32" t="str">
        <x:v>Medium</x:v>
      </x:c>
      <x:c r="M51" s="32" t="str">
        <x:f>IFERROR(INDEX(Helpdesk_Setup!$B$5:$D$7,MATCH(K51,Helpdesk_Setup!$A$5:$A$7,0),MATCH(L51,Helpdesk_Setup!$B$4:$D$4,0)),"")</x:f>
        <x:v>P3</x:v>
      </x:c>
      <x:c r="N51" s="32" t="str">
        <x:v>In Progress</x:v>
      </x:c>
      <x:c r="O51" s="32" t="str">
        <x:v>UE030</x:v>
      </x:c>
      <x:c r="P51" s="55" t="n">
        <x:v>46259.19236111111</x:v>
      </x:c>
      <x:c r="Q51" s="55"/>
      <x:c r="R51" s="74" t="n">
        <x:f>IFERROR(VLOOKUP(M51,Helpdesk_Setup!$F$5:$H$8,2,FALSE),"")</x:f>
        <x:v>4</x:v>
      </x:c>
      <x:c r="S51" s="74" t="n">
        <x:f>IFERROR(VLOOKUP(M51,Helpdesk_Setup!$F$5:$H$8,3,FALSE),"")</x:f>
        <x:v>24</x:v>
      </x:c>
      <x:c r="T51" s="74" t="n">
        <x:f>IF(P51="",(Helpdesk_Setup!$G$12-B51)*24,(P51-B51)*24)</x:f>
        <x:v>1.0000000001164153</x:v>
      </x:c>
      <x:c r="U51" s="74" t="n">
        <x:f>IF(Q51="",(Helpdesk_Setup!$G$12-B51)*24,(Q51-B51)*24)</x:f>
        <x:v>277.3833333334769</x:v>
      </x:c>
      <x:c r="V51" s="32" t="str">
        <x:f>IF(T51&lt;=R51,"Met","Breached")</x:f>
        <x:v>Met</x:v>
      </x:c>
      <x:c r="W51" s="32" t="str">
        <x:f>IF(U51&lt;=S51,"Met","Breached")</x:f>
        <x:v>Breached</x:v>
      </x:c>
      <x:c r="X51" s="32"/>
      <x:c r="Y51" s="32" t="str">
        <x:v>Saved Wi-Fi profile issue</x:v>
      </x:c>
      <x:c r="Z51" s="32" t="str">
        <x:v>KB-016</x:v>
      </x:c>
      <x:c r="AA51" s="75"/>
      <x:c r="AB51" s="32" t="str">
        <x:v>No</x:v>
      </x:c>
      <x:c r="AC51" s="32" t="str"/>
    </x:row>
    <x:row r="52">
      <x:c r="A52" s="32" t="str">
        <x:v>IT-2026-044</x:v>
      </x:c>
      <x:c r="B52" s="55" t="n">
        <x:v>46259.30625</x:v>
      </x:c>
      <x:c r="C52" s="32" t="str">
        <x:v>UE007</x:v>
      </x:c>
      <x:c r="D52" s="32" t="str">
        <x:f>IFERROR(VLOOKUP(C52,Employee_Master!$A$2:$N$31,2,FALSE),"")</x:f>
        <x:v>Demo Employee 07</x:v>
      </x:c>
      <x:c r="E52" s="32" t="str">
        <x:f>IFERROR(VLOOKUP(C52,Employee_Master!$A$2:$N$31,4,FALSE),"")</x:f>
        <x:v>Administration</x:v>
      </x:c>
      <x:c r="F52" s="32" t="str">
        <x:f>IFERROR(VLOOKUP(C52,Employee_Master!$A$2:$N$31,6,FALSE),"")</x:f>
        <x:v>Pooraka Head Office</x:v>
      </x:c>
      <x:c r="G52" s="32" t="str">
        <x:v>Teams</x:v>
      </x:c>
      <x:c r="H52" s="32" t="str">
        <x:v>Cybersecurity</x:v>
      </x:c>
      <x:c r="I52" s="32" t="str">
        <x:v>MFA</x:v>
      </x:c>
      <x:c r="J52" s="32" t="str">
        <x:v>Unexpected MFA prompts reported</x:v>
      </x:c>
      <x:c r="K52" s="32" t="str">
        <x:v>Medium</x:v>
      </x:c>
      <x:c r="L52" s="32" t="str">
        <x:v>High</x:v>
      </x:c>
      <x:c r="M52" s="32" t="str">
        <x:f>IFERROR(INDEX(Helpdesk_Setup!$B$5:$D$7,MATCH(K52,Helpdesk_Setup!$A$5:$A$7,0),MATCH(L52,Helpdesk_Setup!$B$4:$D$4,0)),"")</x:f>
        <x:v>P2</x:v>
      </x:c>
      <x:c r="N52" s="32" t="str">
        <x:v>Waiting on User</x:v>
      </x:c>
      <x:c r="O52" s="32" t="str">
        <x:v>UE030</x:v>
      </x:c>
      <x:c r="P52" s="55" t="n">
        <x:v>46259.35208333333</x:v>
      </x:c>
      <x:c r="Q52" s="55"/>
      <x:c r="R52" s="74" t="n">
        <x:f>IFERROR(VLOOKUP(M52,Helpdesk_Setup!$F$5:$H$8,2,FALSE),"")</x:f>
        <x:v>1</x:v>
      </x:c>
      <x:c r="S52" s="74" t="n">
        <x:f>IFERROR(VLOOKUP(M52,Helpdesk_Setup!$F$5:$H$8,3,FALSE),"")</x:f>
        <x:v>8</x:v>
      </x:c>
      <x:c r="T52" s="74" t="n">
        <x:f>IF(P52="",(Helpdesk_Setup!$G$12-B52)*24,(P52-B52)*24)</x:f>
        <x:v>1.0999999999185093</x:v>
      </x:c>
      <x:c r="U52" s="74" t="n">
        <x:f>IF(Q52="",(Helpdesk_Setup!$G$12-B52)*24,(Q52-B52)*24)</x:f>
        <x:v>273.6500000000233</x:v>
      </x:c>
      <x:c r="V52" s="32" t="str">
        <x:f>IF(T52&lt;=R52,"Met","Breached")</x:f>
        <x:v>Breached</x:v>
      </x:c>
      <x:c r="W52" s="32" t="str">
        <x:f>IF(U52&lt;=S52,"Met","Breached")</x:f>
        <x:v>Breached</x:v>
      </x:c>
      <x:c r="X52" s="32"/>
      <x:c r="Y52" s="32" t="str">
        <x:v>Under investigation</x:v>
      </x:c>
      <x:c r="Z52" s="32" t="str">
        <x:v>KB-008</x:v>
      </x:c>
      <x:c r="AA52" s="75"/>
      <x:c r="AB52" s="32" t="str">
        <x:v>No</x:v>
      </x:c>
      <x:c r="AC52" s="32" t="str">
        <x:v>Security-related mock case; no real incident data is represented.</x:v>
      </x:c>
    </x:row>
    <x:row r="53">
      <x:c r="A53" s="32" t="str">
        <x:v>IT-2026-045</x:v>
      </x:c>
      <x:c r="B53" s="55" t="n">
        <x:v>46262.555555555555</x:v>
      </x:c>
      <x:c r="C53" s="32" t="str">
        <x:v>UE028</x:v>
      </x:c>
      <x:c r="D53" s="32" t="str">
        <x:f>IFERROR(VLOOKUP(C53,Employee_Master!$A$2:$N$31,2,FALSE),"")</x:f>
        <x:v>Demo Employee 28</x:v>
      </x:c>
      <x:c r="E53" s="32" t="str">
        <x:f>IFERROR(VLOOKUP(C53,Employee_Master!$A$2:$N$31,4,FALSE),"")</x:f>
        <x:v>Marketing</x:v>
      </x:c>
      <x:c r="F53" s="32" t="str">
        <x:f>IFERROR(VLOOKUP(C53,Employee_Master!$A$2:$N$31,6,FALSE),"")</x:f>
        <x:v>Pooraka Head Office</x:v>
      </x:c>
      <x:c r="G53" s="32" t="str">
        <x:v>Phone</x:v>
      </x:c>
      <x:c r="H53" s="32" t="str">
        <x:v>Access &amp; Permissions</x:v>
      </x:c>
      <x:c r="I53" s="32" t="str">
        <x:v>Password</x:v>
      </x:c>
      <x:c r="J53" s="32" t="str">
        <x:v>Account locked after repeated sign-in attempts</x:v>
      </x:c>
      <x:c r="K53" s="32" t="str">
        <x:v>High</x:v>
      </x:c>
      <x:c r="L53" s="32" t="str">
        <x:v>Low</x:v>
      </x:c>
      <x:c r="M53" s="32" t="str">
        <x:f>IFERROR(INDEX(Helpdesk_Setup!$B$5:$D$7,MATCH(K53,Helpdesk_Setup!$A$5:$A$7,0),MATCH(L53,Helpdesk_Setup!$B$4:$D$4,0)),"")</x:f>
        <x:v>P3</x:v>
      </x:c>
      <x:c r="N53" s="32" t="str">
        <x:v>In Progress</x:v>
      </x:c>
      <x:c r="O53" s="32" t="str">
        <x:v>UE030</x:v>
      </x:c>
      <x:c r="P53" s="55" t="n">
        <x:v>46262.63888888889</x:v>
      </x:c>
      <x:c r="Q53" s="55"/>
      <x:c r="R53" s="74" t="n">
        <x:f>IFERROR(VLOOKUP(M53,Helpdesk_Setup!$F$5:$H$8,2,FALSE),"")</x:f>
        <x:v>4</x:v>
      </x:c>
      <x:c r="S53" s="74" t="n">
        <x:f>IFERROR(VLOOKUP(M53,Helpdesk_Setup!$F$5:$H$8,3,FALSE),"")</x:f>
        <x:v>24</x:v>
      </x:c>
      <x:c r="T53" s="74" t="n">
        <x:f>IF(P53="",(Helpdesk_Setup!$G$12-B53)*24,(P53-B53)*24)</x:f>
        <x:v>2.0000000000582077</x:v>
      </x:c>
      <x:c r="U53" s="74" t="n">
        <x:f>IF(Q53="",(Helpdesk_Setup!$G$12-B53)*24,(Q53-B53)*24)</x:f>
        <x:v>195.66666666674428</x:v>
      </x:c>
      <x:c r="V53" s="32" t="str">
        <x:f>IF(T53&lt;=R53,"Met","Breached")</x:f>
        <x:v>Met</x:v>
      </x:c>
      <x:c r="W53" s="32" t="str">
        <x:f>IF(U53&lt;=S53,"Met","Breached")</x:f>
        <x:v>Breached</x:v>
      </x:c>
      <x:c r="X53" s="32"/>
      <x:c r="Y53" s="32" t="str">
        <x:v>Expired saved credentials</x:v>
      </x:c>
      <x:c r="Z53" s="32" t="str">
        <x:v>KB-006</x:v>
      </x:c>
      <x:c r="AA53" s="75"/>
      <x:c r="AB53" s="32" t="str">
        <x:v>No</x:v>
      </x:c>
      <x:c r="AC53" s="32" t="str"/>
    </x:row>
    <x:row r="54">
      <x:c r="A54" s="32" t="str">
        <x:v>IT-2026-046</x:v>
      </x:c>
      <x:c r="B54" s="55" t="n">
        <x:v>46263.50763888889</x:v>
      </x:c>
      <x:c r="C54" s="32" t="str">
        <x:v>UE026</x:v>
      </x:c>
      <x:c r="D54" s="32" t="str">
        <x:f>IFERROR(VLOOKUP(C54,Employee_Master!$A$2:$N$31,2,FALSE),"")</x:f>
        <x:v>Demo Employee 26</x:v>
      </x:c>
      <x:c r="E54" s="32" t="str">
        <x:f>IFERROR(VLOOKUP(C54,Employee_Master!$A$2:$N$31,4,FALSE),"")</x:f>
        <x:v>Construction &amp; Project Management</x:v>
      </x:c>
      <x:c r="F54" s="32" t="str">
        <x:f>IFERROR(VLOOKUP(C54,Employee_Master!$A$2:$N$31,6,FALSE),"")</x:f>
        <x:v>Remote / Mobile</x:v>
      </x:c>
      <x:c r="G54" s="32" t="str">
        <x:v>Form</x:v>
      </x:c>
      <x:c r="H54" s="32" t="str">
        <x:v>Software</x:v>
      </x:c>
      <x:c r="I54" s="32" t="str">
        <x:v>Browser</x:v>
      </x:c>
      <x:c r="J54" s="32" t="str">
        <x:v>Internal web application not loading</x:v>
      </x:c>
      <x:c r="K54" s="32" t="str">
        <x:v>Low</x:v>
      </x:c>
      <x:c r="L54" s="32" t="str">
        <x:v>Low</x:v>
      </x:c>
      <x:c r="M54" s="32" t="str">
        <x:f>IFERROR(INDEX(Helpdesk_Setup!$B$5:$D$7,MATCH(K54,Helpdesk_Setup!$A$5:$A$7,0),MATCH(L54,Helpdesk_Setup!$B$4:$D$4,0)),"")</x:f>
        <x:v>P4</x:v>
      </x:c>
      <x:c r="N54" s="32" t="str">
        <x:v>Waiting on Vendor</x:v>
      </x:c>
      <x:c r="O54" s="32" t="str">
        <x:v>UE030</x:v>
      </x:c>
      <x:c r="P54" s="55" t="n">
        <x:v>46263.97430555556</x:v>
      </x:c>
      <x:c r="Q54" s="55"/>
      <x:c r="R54" s="74" t="n">
        <x:f>IFERROR(VLOOKUP(M54,Helpdesk_Setup!$F$5:$H$8,2,FALSE),"")</x:f>
        <x:v>8</x:v>
      </x:c>
      <x:c r="S54" s="74" t="n">
        <x:f>IFERROR(VLOOKUP(M54,Helpdesk_Setup!$F$5:$H$8,3,FALSE),"")</x:f>
        <x:v>72</x:v>
      </x:c>
      <x:c r="T54" s="74" t="n">
        <x:f>IF(P54="",(Helpdesk_Setup!$G$12-B54)*24,(P54-B54)*24)</x:f>
        <x:v>11.200000000011642</x:v>
      </x:c>
      <x:c r="U54" s="74" t="n">
        <x:f>IF(Q54="",(Helpdesk_Setup!$G$12-B54)*24,(Q54-B54)*24)</x:f>
        <x:v>172.81666666665114</x:v>
      </x:c>
      <x:c r="V54" s="32" t="str">
        <x:f>IF(T54&lt;=R54,"Met","Breached")</x:f>
        <x:v>Breached</x:v>
      </x:c>
      <x:c r="W54" s="32" t="str">
        <x:f>IF(U54&lt;=S54,"Met","Breached")</x:f>
        <x:v>Breached</x:v>
      </x:c>
      <x:c r="X54" s="32"/>
      <x:c r="Y54" s="32" t="str">
        <x:v>Unsupported browser extension</x:v>
      </x:c>
      <x:c r="Z54" s="32" t="str">
        <x:v>KB-027</x:v>
      </x:c>
      <x:c r="AA54" s="75"/>
      <x:c r="AB54" s="32" t="str">
        <x:v>No</x:v>
      </x:c>
      <x:c r="AC54" s="32" t="str">
        <x:v>Awaiting external telecommunications/vendor action.</x:v>
      </x:c>
    </x:row>
    <x:row r="55">
      <x:c r="A55" s="32" t="str">
        <x:v>IT-2026-047</x:v>
      </x:c>
      <x:c r="B55" s="55" t="n">
        <x:v>46265.94861111111</x:v>
      </x:c>
      <x:c r="C55" s="32" t="str">
        <x:v>UE026</x:v>
      </x:c>
      <x:c r="D55" s="32" t="str">
        <x:f>IFERROR(VLOOKUP(C55,Employee_Master!$A$2:$N$31,2,FALSE),"")</x:f>
        <x:v>Demo Employee 26</x:v>
      </x:c>
      <x:c r="E55" s="32" t="str">
        <x:f>IFERROR(VLOOKUP(C55,Employee_Master!$A$2:$N$31,4,FALSE),"")</x:f>
        <x:v>Construction &amp; Project Management</x:v>
      </x:c>
      <x:c r="F55" s="32" t="str">
        <x:f>IFERROR(VLOOKUP(C55,Employee_Master!$A$2:$N$31,6,FALSE),"")</x:f>
        <x:v>Remote / Mobile</x:v>
      </x:c>
      <x:c r="G55" s="32" t="str">
        <x:v>Form</x:v>
      </x:c>
      <x:c r="H55" s="32" t="str">
        <x:v>Network &amp; Wi-Fi</x:v>
      </x:c>
      <x:c r="I55" s="32" t="str">
        <x:v>DNS</x:v>
      </x:c>
      <x:c r="J55" s="32" t="str">
        <x:v>Website access works by IP but not name</x:v>
      </x:c>
      <x:c r="K55" s="32" t="str">
        <x:v>Medium</x:v>
      </x:c>
      <x:c r="L55" s="32" t="str">
        <x:v>High</x:v>
      </x:c>
      <x:c r="M55" s="32" t="str">
        <x:f>IFERROR(INDEX(Helpdesk_Setup!$B$5:$D$7,MATCH(K55,Helpdesk_Setup!$A$5:$A$7,0),MATCH(L55,Helpdesk_Setup!$B$4:$D$4,0)),"")</x:f>
        <x:v>P2</x:v>
      </x:c>
      <x:c r="N55" s="32" t="str">
        <x:v>Assigned</x:v>
      </x:c>
      <x:c r="O55" s="32" t="str">
        <x:v>UE030</x:v>
      </x:c>
      <x:c r="P55" s="55" t="n">
        <x:v>46265.96944444445</x:v>
      </x:c>
      <x:c r="Q55" s="55"/>
      <x:c r="R55" s="74" t="n">
        <x:f>IFERROR(VLOOKUP(M55,Helpdesk_Setup!$F$5:$H$8,2,FALSE),"")</x:f>
        <x:v>1</x:v>
      </x:c>
      <x:c r="S55" s="74" t="n">
        <x:f>IFERROR(VLOOKUP(M55,Helpdesk_Setup!$F$5:$H$8,3,FALSE),"")</x:f>
        <x:v>8</x:v>
      </x:c>
      <x:c r="T55" s="74" t="n">
        <x:f>IF(P55="",(Helpdesk_Setup!$G$12-B55)*24,(P55-B55)*24)</x:f>
        <x:v>0.5000000000582077</x:v>
      </x:c>
      <x:c r="U55" s="74" t="n">
        <x:f>IF(Q55="",(Helpdesk_Setup!$G$12-B55)*24,(Q55-B55)*24)</x:f>
        <x:v>114.23333333339542</x:v>
      </x:c>
      <x:c r="V55" s="32" t="str">
        <x:f>IF(T55&lt;=R55,"Met","Breached")</x:f>
        <x:v>Met</x:v>
      </x:c>
      <x:c r="W55" s="32" t="str">
        <x:f>IF(U55&lt;=S55,"Met","Breached")</x:f>
        <x:v>Breached</x:v>
      </x:c>
      <x:c r="X55" s="32"/>
      <x:c r="Y55" s="32" t="str">
        <x:v>Under investigation</x:v>
      </x:c>
      <x:c r="Z55" s="32" t="str">
        <x:v>KB-018</x:v>
      </x:c>
      <x:c r="AA55" s="75"/>
      <x:c r="AB55" s="32" t="str">
        <x:v>No</x:v>
      </x:c>
      <x:c r="AC55" s="32" t="str">
        <x:v>Construction-workflow example using fictional project/support data.</x:v>
      </x:c>
    </x:row>
    <x:row r="56">
      <x:c r="A56" s="32" t="str">
        <x:v>IT-2026-048</x:v>
      </x:c>
      <x:c r="B56" s="55" t="n">
        <x:v>46267.9</x:v>
      </x:c>
      <x:c r="C56" s="32" t="str">
        <x:v>UE009</x:v>
      </x:c>
      <x:c r="D56" s="32" t="str">
        <x:f>IFERROR(VLOOKUP(C56,Employee_Master!$A$2:$N$31,2,FALSE),"")</x:f>
        <x:v>Demo Employee 09</x:v>
      </x:c>
      <x:c r="E56" s="32" t="str">
        <x:f>IFERROR(VLOOKUP(C56,Employee_Master!$A$2:$N$31,4,FALSE),"")</x:f>
        <x:v>Sales</x:v>
      </x:c>
      <x:c r="F56" s="32" t="str">
        <x:f>IFERROR(VLOOKUP(C56,Employee_Master!$A$2:$N$31,6,FALSE),"")</x:f>
        <x:v>Pooraka Head Office</x:v>
      </x:c>
      <x:c r="G56" s="32" t="str">
        <x:v>Email</x:v>
      </x:c>
      <x:c r="H56" s="32" t="str">
        <x:v>Microsoft 365</x:v>
      </x:c>
      <x:c r="I56" s="32" t="str">
        <x:v>OneDrive</x:v>
      </x:c>
      <x:c r="J56" s="32" t="str">
        <x:v>OneDrive stuck on syncing project files</x:v>
      </x:c>
      <x:c r="K56" s="32" t="str">
        <x:v>Medium</x:v>
      </x:c>
      <x:c r="L56" s="32" t="str">
        <x:v>High</x:v>
      </x:c>
      <x:c r="M56" s="32" t="str">
        <x:f>IFERROR(INDEX(Helpdesk_Setup!$B$5:$D$7,MATCH(K56,Helpdesk_Setup!$A$5:$A$7,0),MATCH(L56,Helpdesk_Setup!$B$4:$D$4,0)),"")</x:f>
        <x:v>P2</x:v>
      </x:c>
      <x:c r="N56" s="32" t="str">
        <x:v>New</x:v>
      </x:c>
      <x:c r="O56" s="32" t="str">
        <x:v>UE030</x:v>
      </x:c>
      <x:c r="P56" s="55" t="n">
        <x:v>46267.910416666666</x:v>
      </x:c>
      <x:c r="Q56" s="55"/>
      <x:c r="R56" s="74" t="n">
        <x:f>IFERROR(VLOOKUP(M56,Helpdesk_Setup!$F$5:$H$8,2,FALSE),"")</x:f>
        <x:v>1</x:v>
      </x:c>
      <x:c r="S56" s="74" t="n">
        <x:f>IFERROR(VLOOKUP(M56,Helpdesk_Setup!$F$5:$H$8,3,FALSE),"")</x:f>
        <x:v>8</x:v>
      </x:c>
      <x:c r="T56" s="74" t="n">
        <x:f>IF(P56="",(Helpdesk_Setup!$G$12-B56)*24,(P56-B56)*24)</x:f>
        <x:v>0.24999999994179234</x:v>
      </x:c>
      <x:c r="U56" s="74" t="n">
        <x:f>IF(Q56="",(Helpdesk_Setup!$G$12-B56)*24,(Q56-B56)*24)</x:f>
        <x:v>67.40000000002328</x:v>
      </x:c>
      <x:c r="V56" s="32" t="str">
        <x:f>IF(T56&lt;=R56,"Met","Breached")</x:f>
        <x:v>Met</x:v>
      </x:c>
      <x:c r="W56" s="32" t="str">
        <x:f>IF(U56&lt;=S56,"Met","Breached")</x:f>
        <x:v>Breached</x:v>
      </x:c>
      <x:c r="X56" s="32"/>
      <x:c r="Y56" s="32" t="str">
        <x:v>Under investigation</x:v>
      </x:c>
      <x:c r="Z56" s="32" t="str">
        <x:v>KB-002</x:v>
      </x:c>
      <x:c r="AA56" s="75"/>
      <x:c r="AB56" s="32" t="str">
        <x:v>No</x:v>
      </x:c>
      <x:c r="AC56" s="32" t="str">
        <x:v>Construction-workflow example using fictional project/support data.</x:v>
      </x:c>
    </x:row>
    <x:row r="57">
      <x:c r="A57" s="32" t="str">
        <x:v>IT-2026-049</x:v>
      </x:c>
      <x:c r="B57" s="55" t="n">
        <x:v>46268.19027777778</x:v>
      </x:c>
      <x:c r="C57" s="32" t="str">
        <x:v>UE028</x:v>
      </x:c>
      <x:c r="D57" s="32" t="str">
        <x:f>IFERROR(VLOOKUP(C57,Employee_Master!$A$2:$N$31,2,FALSE),"")</x:f>
        <x:v>Demo Employee 28</x:v>
      </x:c>
      <x:c r="E57" s="32" t="str">
        <x:f>IFERROR(VLOOKUP(C57,Employee_Master!$A$2:$N$31,4,FALSE),"")</x:f>
        <x:v>Marketing</x:v>
      </x:c>
      <x:c r="F57" s="32" t="str">
        <x:f>IFERROR(VLOOKUP(C57,Employee_Master!$A$2:$N$31,6,FALSE),"")</x:f>
        <x:v>Pooraka Head Office</x:v>
      </x:c>
      <x:c r="G57" s="32" t="str">
        <x:v>Phone</x:v>
      </x:c>
      <x:c r="H57" s="32" t="str">
        <x:v>Hardware</x:v>
      </x:c>
      <x:c r="I57" s="32" t="str">
        <x:v>Laptop</x:v>
      </x:c>
      <x:c r="J57" s="32" t="str">
        <x:v>Laptop running very slowly</x:v>
      </x:c>
      <x:c r="K57" s="32" t="str">
        <x:v>Medium</x:v>
      </x:c>
      <x:c r="L57" s="32" t="str">
        <x:v>Low</x:v>
      </x:c>
      <x:c r="M57" s="32" t="str">
        <x:f>IFERROR(INDEX(Helpdesk_Setup!$B$5:$D$7,MATCH(K57,Helpdesk_Setup!$A$5:$A$7,0),MATCH(L57,Helpdesk_Setup!$B$4:$D$4,0)),"")</x:f>
        <x:v>P4</x:v>
      </x:c>
      <x:c r="N57" s="32" t="str">
        <x:v>Waiting on User</x:v>
      </x:c>
      <x:c r="O57" s="32" t="str">
        <x:v>UE030</x:v>
      </x:c>
      <x:c r="P57" s="55" t="n">
        <x:v>46268.490277777775</x:v>
      </x:c>
      <x:c r="Q57" s="55"/>
      <x:c r="R57" s="74" t="n">
        <x:f>IFERROR(VLOOKUP(M57,Helpdesk_Setup!$F$5:$H$8,2,FALSE),"")</x:f>
        <x:v>8</x:v>
      </x:c>
      <x:c r="S57" s="74" t="n">
        <x:f>IFERROR(VLOOKUP(M57,Helpdesk_Setup!$F$5:$H$8,3,FALSE),"")</x:f>
        <x:v>72</x:v>
      </x:c>
      <x:c r="T57" s="74" t="n">
        <x:f>IF(P57="",(Helpdesk_Setup!$G$12-B57)*24,(P57-B57)*24)</x:f>
        <x:v>7.199999999895226</x:v>
      </x:c>
      <x:c r="U57" s="74" t="n">
        <x:f>IF(Q57="",(Helpdesk_Setup!$G$12-B57)*24,(Q57-B57)*24)</x:f>
        <x:v>60.433333333348855</x:v>
      </x:c>
      <x:c r="V57" s="32" t="str">
        <x:f>IF(T57&lt;=R57,"Met","Breached")</x:f>
        <x:v>Met</x:v>
      </x:c>
      <x:c r="W57" s="32" t="str">
        <x:f>IF(U57&lt;=S57,"Met","Breached")</x:f>
        <x:v>Met</x:v>
      </x:c>
      <x:c r="X57" s="32"/>
      <x:c r="Y57" s="32" t="str">
        <x:v>Under investigation</x:v>
      </x:c>
      <x:c r="Z57" s="32" t="str">
        <x:v>KB-011</x:v>
      </x:c>
      <x:c r="AA57" s="75"/>
      <x:c r="AB57" s="32" t="str">
        <x:v>No</x:v>
      </x:c>
      <x:c r="AC57" s="32" t="str"/>
    </x:row>
    <x:row r="58">
      <x:c r="A58" s="32" t="str">
        <x:v>IT-2026-050</x:v>
      </x:c>
      <x:c r="B58" s="55" t="n">
        <x:v>46269.52777777778</x:v>
      </x:c>
      <x:c r="C58" s="32" t="str">
        <x:v>UE012</x:v>
      </x:c>
      <x:c r="D58" s="32" t="str">
        <x:f>IFERROR(VLOOKUP(C58,Employee_Master!$A$2:$N$31,2,FALSE),"")</x:f>
        <x:v>Demo Employee 12</x:v>
      </x:c>
      <x:c r="E58" s="32" t="str">
        <x:f>IFERROR(VLOOKUP(C58,Employee_Master!$A$2:$N$31,4,FALSE),"")</x:f>
        <x:v>Sales</x:v>
      </x:c>
      <x:c r="F58" s="32" t="str">
        <x:f>IFERROR(VLOOKUP(C58,Employee_Master!$A$2:$N$31,6,FALSE),"")</x:f>
        <x:v>Pooraka Head Office</x:v>
      </x:c>
      <x:c r="G58" s="32" t="str">
        <x:v>Phone</x:v>
      </x:c>
      <x:c r="H58" s="32" t="str">
        <x:v>Printer &amp; Scanner</x:v>
      </x:c>
      <x:c r="I58" s="32" t="str">
        <x:v>Printer</x:v>
      </x:c>
      <x:c r="J58" s="32" t="str">
        <x:v>Office printer showing offline</x:v>
      </x:c>
      <x:c r="K58" s="32" t="str">
        <x:v>Medium</x:v>
      </x:c>
      <x:c r="L58" s="32" t="str">
        <x:v>Low</x:v>
      </x:c>
      <x:c r="M58" s="32" t="str">
        <x:f>IFERROR(INDEX(Helpdesk_Setup!$B$5:$D$7,MATCH(K58,Helpdesk_Setup!$A$5:$A$7,0),MATCH(L58,Helpdesk_Setup!$B$4:$D$4,0)),"")</x:f>
        <x:v>P4</x:v>
      </x:c>
      <x:c r="N58" s="32" t="str">
        <x:v>New</x:v>
      </x:c>
      <x:c r="O58" s="32" t="str">
        <x:v>UE030</x:v>
      </x:c>
      <x:c r="P58" s="55" t="n">
        <x:v>46269.99444444444</x:v>
      </x:c>
      <x:c r="Q58" s="55"/>
      <x:c r="R58" s="74" t="n">
        <x:f>IFERROR(VLOOKUP(M58,Helpdesk_Setup!$F$5:$H$8,2,FALSE),"")</x:f>
        <x:v>8</x:v>
      </x:c>
      <x:c r="S58" s="74" t="n">
        <x:f>IFERROR(VLOOKUP(M58,Helpdesk_Setup!$F$5:$H$8,3,FALSE),"")</x:f>
        <x:v>72</x:v>
      </x:c>
      <x:c r="T58" s="74" t="n">
        <x:f>IF(P58="",(Helpdesk_Setup!$G$12-B58)*24,(P58-B58)*24)</x:f>
        <x:v>11.199999999837019</x:v>
      </x:c>
      <x:c r="U58" s="74" t="n">
        <x:f>IF(Q58="",(Helpdesk_Setup!$G$12-B58)*24,(Q58-B58)*24)</x:f>
        <x:v>28.33333333331393</x:v>
      </x:c>
      <x:c r="V58" s="32" t="str">
        <x:f>IF(T58&lt;=R58,"Met","Breached")</x:f>
        <x:v>Breached</x:v>
      </x:c>
      <x:c r="W58" s="32" t="str">
        <x:f>IF(U58&lt;=S58,"Met","Breached")</x:f>
        <x:v>Met</x:v>
      </x:c>
      <x:c r="X58" s="32"/>
      <x:c r="Y58" s="32" t="str">
        <x:v>Under investigation</x:v>
      </x:c>
      <x:c r="Z58" s="32" t="str">
        <x:v>KB-009</x:v>
      </x:c>
      <x:c r="AA58" s="75"/>
      <x:c r="AB58" s="32" t="str">
        <x:v>No</x:v>
      </x:c>
      <x:c r="AC58" s="32" t="str"/>
    </x:row>
  </x:sheetData>
  <x:mergeCells>
    <x:mergeCell ref="A1:AC1"/>
    <x:mergeCell ref="A4:AC4"/>
    <x:mergeCell ref="A5:AC5"/>
  </x:mergeCells>
  <x:conditionalFormatting sqref="M9:M58">
    <x:cfRule type="expression" dxfId="3" priority="1">
      <x:formula>M9="P1"</x:formula>
    </x:cfRule>
    <x:cfRule type="expression" dxfId="4" priority="2">
      <x:formula>M9="P2"</x:formula>
    </x:cfRule>
    <x:cfRule type="expression" dxfId="5" priority="3">
      <x:formula>M9="P3"</x:formula>
    </x:cfRule>
    <x:cfRule type="expression" dxfId="6" priority="4">
      <x:formula>M9="P4"</x:formula>
    </x:cfRule>
  </x:conditionalFormatting>
  <x:conditionalFormatting sqref="W9:W58">
    <x:cfRule type="expression" dxfId="7" priority="5">
      <x:formula>W9="Breached"</x:formula>
    </x:cfRule>
    <x:cfRule type="expression" dxfId="8" priority="6">
      <x:formula>W9="Met"</x:formula>
    </x:cfRule>
  </x:conditionalFormatting>
  <x:conditionalFormatting sqref="V9:V58">
    <x:cfRule type="expression" dxfId="9" priority="7">
      <x:formula>V9="Breached"</x:formula>
    </x:cfRule>
  </x:conditionalFormatting>
  <x:dataValidations count="8">
    <x:dataValidation type="list" sqref="C9:C58">
      <x:formula1>Employee_Master!$A$2:$A$31</x:formula1>
    </x:dataValidation>
    <x:dataValidation type="list" sqref="G9:G58">
      <x:formula1>Helpdesk_Setup!$J$5:$J$9</x:formula1>
    </x:dataValidation>
    <x:dataValidation type="list" sqref="H9:H58">
      <x:formula1>Helpdesk_Setup!$K$5:$K$12</x:formula1>
    </x:dataValidation>
    <x:dataValidation type="list" sqref="K9:K58">
      <x:formula1>Helpdesk_Setup!$M$5:$M$7</x:formula1>
    </x:dataValidation>
    <x:dataValidation type="list" sqref="L9:L58">
      <x:formula1>Helpdesk_Setup!$N$5:$N$7</x:formula1>
    </x:dataValidation>
    <x:dataValidation type="list" sqref="N9:N58">
      <x:formula1>Helpdesk_Setup!$L$5:$L$11</x:formula1>
    </x:dataValidation>
    <x:dataValidation type="list" sqref="O9:O58">
      <x:formula1>Helpdesk_Setup!$O$5:$O$7</x:formula1>
    </x:dataValidation>
    <x:dataValidation type="list" sqref="AB9:AB58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91ee2ab032492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22" hidden="0" customWidth="1"/>
    <x:col min="5" max="5" width="18" hidden="0" customWidth="1"/>
    <x:col min="6" max="6" width="20" hidden="0" customWidth="1"/>
    <x:col min="7" max="7" width="20" hidden="0" customWidth="1"/>
    <x:col min="8" max="8" width="26" hidden="0" customWidth="1"/>
    <x:col min="9" max="9" width="24" hidden="0" customWidth="1"/>
    <x:col min="10" max="10" width="12" hidden="0" customWidth="1"/>
    <x:col min="11" max="11" width="13.25" hidden="0" customWidth="1"/>
    <x:col min="12" max="12" width="18" hidden="0" customWidth="1"/>
    <x:col min="13" max="13" width="11.25" hidden="0" customWidth="1"/>
    <x:col min="14" max="14" width="9.75" hidden="0" customWidth="1"/>
    <x:col min="15" max="15" width="13.25" hidden="0" customWidth="1"/>
    <x:col min="16" max="16" width="10.380000114440918" hidden="0" customWidth="1"/>
    <x:col min="17" max="17" width="13.130000114440918" hidden="0" customWidth="1"/>
    <x:col min="18" max="18" width="13.130000114440918" hidden="0" customWidth="1"/>
    <x:col min="19" max="19" width="13.380000114440918" hidden="0" customWidth="1"/>
    <x:col min="20" max="20" width="15.130000114440918" hidden="0" customWidth="1"/>
    <x:col min="21" max="21" width="28" hidden="0" customWidth="1"/>
  </x:cols>
  <x:sheetData>
    <x:row r="1" ht="28" customHeight="1">
      <x:c r="A1" s="78" t="str">
        <x:v>Urban Edge SA — IT Asset Register | Demonstration Project — Mock Data Only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  <x:c r="M1" s="78"/>
      <x:c r="N1" s="78"/>
      <x:c r="O1" s="78"/>
      <x:c r="P1" s="78"/>
      <x:c r="Q1" s="78"/>
      <x:c r="R1" s="78"/>
      <x:c r="S1" s="78"/>
      <x:c r="T1" s="78"/>
      <x:c r="U1" s="78"/>
    </x:row>
    <x:row r="2" ht="28" customHeight="1">
      <x:c r="A2" s="82" t="str">
        <x:v>Asset_ID</x:v>
      </x:c>
      <x:c r="B2" s="82" t="str">
        <x:v>Asset_Type</x:v>
      </x:c>
      <x:c r="C2" s="82" t="str">
        <x:v>Manufacturer</x:v>
      </x:c>
      <x:c r="D2" s="82" t="str">
        <x:v>Model</x:v>
      </x:c>
      <x:c r="E2" s="82" t="str">
        <x:v>Serial_Number</x:v>
      </x:c>
      <x:c r="F2" s="82" t="str">
        <x:v>Assigned_Employee_ID</x:v>
      </x:c>
      <x:c r="G2" s="82" t="str">
        <x:v>Employee_Name</x:v>
      </x:c>
      <x:c r="H2" s="82" t="str">
        <x:v>Department</x:v>
      </x:c>
      <x:c r="I2" s="82" t="str">
        <x:v>Work_Location</x:v>
      </x:c>
      <x:c r="J2" s="82" t="str">
        <x:v>Purchase_Date</x:v>
      </x:c>
      <x:c r="K2" s="82" t="str">
        <x:v>Warranty_Expiry</x:v>
      </x:c>
      <x:c r="L2" s="82" t="str">
        <x:v>OS_or_Firmware</x:v>
      </x:c>
      <x:c r="M2" s="82" t="str">
        <x:v>Device_Status</x:v>
      </x:c>
      <x:c r="N2" s="82" t="str">
        <x:v>Encryption</x:v>
      </x:c>
      <x:c r="O2" s="82" t="str">
        <x:v>Defender_Status</x:v>
      </x:c>
      <x:c r="P2" s="82" t="str">
        <x:v>Patch_Status</x:v>
      </x:c>
      <x:c r="Q2" s="82" t="str">
        <x:v>Last_Patch_Date</x:v>
      </x:c>
      <x:c r="R2" s="82" t="str">
        <x:v>Last_Audit_Date</x:v>
      </x:c>
      <x:c r="S2" s="82" t="str">
        <x:v>Warranty_Status</x:v>
      </x:c>
      <x:c r="T2" s="82" t="str">
        <x:v>Compliance_Status</x:v>
      </x:c>
      <x:c r="U2" s="82" t="str">
        <x:v>Notes</x:v>
      </x:c>
    </x:row>
    <x:row r="3">
      <x:c r="A3" s="30" t="str">
        <x:v>UE-LT-001</x:v>
      </x:c>
      <x:c r="B3" s="30" t="str">
        <x:v>Laptop</x:v>
      </x:c>
      <x:c r="C3" s="30" t="str">
        <x:v>Dell</x:v>
      </x:c>
      <x:c r="D3" s="30" t="str">
        <x:v>Latitude 5440</x:v>
      </x:c>
      <x:c r="E3" s="30" t="str">
        <x:v>SNUE10001</x:v>
      </x:c>
      <x:c r="F3" s="30" t="str">
        <x:v>UE001</x:v>
      </x:c>
      <x:c r="G3" s="30" t="str">
        <x:f>IF(F3="","",IFERROR(VLOOKUP(F3,Employee_Master!$A$2:$N$31,2,FALSE),""))</x:f>
        <x:v>Demo Employee 01</x:v>
      </x:c>
      <x:c r="H3" s="30" t="str">
        <x:f>IF(F3="","",IFERROR(VLOOKUP(F3,Employee_Master!$A$2:$N$31,4,FALSE),""))</x:f>
        <x:v>Management</x:v>
      </x:c>
      <x:c r="I3" s="30" t="str">
        <x:f>IF(F3="","Shared / Office",IFERROR(VLOOKUP(F3,Employee_Master!$A$2:$N$31,6,FALSE),""))</x:f>
        <x:v>Pooraka Head Office</x:v>
      </x:c>
      <x:c r="J3" s="35" t="n">
        <x:v>45306</x:v>
      </x:c>
      <x:c r="K3" s="35" t="n">
        <x:v>46401</x:v>
      </x:c>
      <x:c r="L3" s="30" t="str">
        <x:v>Windows 11 Pro</x:v>
      </x:c>
      <x:c r="M3" s="30" t="str">
        <x:v>Active</x:v>
      </x:c>
      <x:c r="N3" s="30" t="str">
        <x:v>Enabled</x:v>
      </x:c>
      <x:c r="O3" s="30" t="str">
        <x:v>Healthy</x:v>
      </x:c>
      <x:c r="P3" s="30" t="str">
        <x:v>Current</x:v>
      </x:c>
      <x:c r="Q3" s="35" t="n">
        <x:v>46259</x:v>
      </x:c>
      <x:c r="R3" s="35" t="n">
        <x:v>46254</x:v>
      </x:c>
      <x:c r="S3" s="30" t="str">
        <x:f>IF(K3&lt;TODAY(),"Expired",IF(K3&lt;=TODAY()+90,"Expiring &lt;90d","Active"))</x:f>
        <x:v>Active</x:v>
      </x:c>
      <x:c r="T3" s="30" t="str">
        <x:f>IF(OR(N3="Not Enabled",O3="Attention",P3="Overdue"),"Attention","Compliant")</x:f>
        <x:v>Compliant</x:v>
      </x:c>
      <x:c r="U3" s="30" t="str">
        <x:v>Primary employee device</x:v>
      </x:c>
    </x:row>
    <x:row r="4">
      <x:c r="A4" s="30" t="str">
        <x:v>UE-LT-002</x:v>
      </x:c>
      <x:c r="B4" s="30" t="str">
        <x:v>Laptop</x:v>
      </x:c>
      <x:c r="C4" s="30" t="str">
        <x:v>HP</x:v>
      </x:c>
      <x:c r="D4" s="30" t="str">
        <x:v>ProBook 440 G10</x:v>
      </x:c>
      <x:c r="E4" s="30" t="str">
        <x:v>SNUE10002</x:v>
      </x:c>
      <x:c r="F4" s="30" t="str">
        <x:v>UE002</x:v>
      </x:c>
      <x:c r="G4" s="30" t="str">
        <x:f>IF(F4="","",IFERROR(VLOOKUP(F4,Employee_Master!$A$2:$N$31,2,FALSE),""))</x:f>
        <x:v>Demo Employee 02</x:v>
      </x:c>
      <x:c r="H4" s="30" t="str">
        <x:f>IF(F4="","",IFERROR(VLOOKUP(F4,Employee_Master!$A$2:$N$31,4,FALSE),""))</x:f>
        <x:v>Management</x:v>
      </x:c>
      <x:c r="I4" s="30" t="str">
        <x:f>IF(F4="","Shared / Office",IFERROR(VLOOKUP(F4,Employee_Master!$A$2:$N$31,6,FALSE),""))</x:f>
        <x:v>Pooraka Head Office</x:v>
      </x:c>
      <x:c r="J4" s="35" t="n">
        <x:v>45335</x:v>
      </x:c>
      <x:c r="K4" s="35" t="n">
        <x:v>46430</x:v>
      </x:c>
      <x:c r="L4" s="30" t="str">
        <x:v>Windows 11 Pro</x:v>
      </x:c>
      <x:c r="M4" s="30" t="str">
        <x:v>Active</x:v>
      </x:c>
      <x:c r="N4" s="30" t="str">
        <x:v>Enabled</x:v>
      </x:c>
      <x:c r="O4" s="30" t="str">
        <x:v>Healthy</x:v>
      </x:c>
      <x:c r="P4" s="30" t="str">
        <x:v>Current</x:v>
      </x:c>
      <x:c r="Q4" s="35" t="n">
        <x:v>46256</x:v>
      </x:c>
      <x:c r="R4" s="35" t="n">
        <x:v>46252</x:v>
      </x:c>
      <x:c r="S4" s="30" t="str">
        <x:f>IF(K4&lt;TODAY(),"Expired",IF(K4&lt;=TODAY()+90,"Expiring &lt;90d","Active"))</x:f>
        <x:v>Active</x:v>
      </x:c>
      <x:c r="T4" s="30" t="str">
        <x:f>IF(OR(N4="Not Enabled",O4="Attention",P4="Overdue"),"Attention","Compliant")</x:f>
        <x:v>Compliant</x:v>
      </x:c>
      <x:c r="U4" s="30" t="str">
        <x:v>Primary employee device</x:v>
      </x:c>
    </x:row>
    <x:row r="5">
      <x:c r="A5" s="30" t="str">
        <x:v>UE-LT-003</x:v>
      </x:c>
      <x:c r="B5" s="30" t="str">
        <x:v>Laptop</x:v>
      </x:c>
      <x:c r="C5" s="30" t="str">
        <x:v>Lenovo</x:v>
      </x:c>
      <x:c r="D5" s="30" t="str">
        <x:v>ThinkPad T14 Gen 4</x:v>
      </x:c>
      <x:c r="E5" s="30" t="str">
        <x:v>SNUE10003</x:v>
      </x:c>
      <x:c r="F5" s="30" t="str">
        <x:v>UE003</x:v>
      </x:c>
      <x:c r="G5" s="30" t="str">
        <x:f>IF(F5="","",IFERROR(VLOOKUP(F5,Employee_Master!$A$2:$N$31,2,FALSE),""))</x:f>
        <x:v>Demo Employee 03</x:v>
      </x:c>
      <x:c r="H5" s="30" t="str">
        <x:f>IF(F5="","",IFERROR(VLOOKUP(F5,Employee_Master!$A$2:$N$31,4,FALSE),""))</x:f>
        <x:v>Management</x:v>
      </x:c>
      <x:c r="I5" s="30" t="str">
        <x:f>IF(F5="","Shared / Office",IFERROR(VLOOKUP(F5,Employee_Master!$A$2:$N$31,6,FALSE),""))</x:f>
        <x:v>Pooraka Head Office</x:v>
      </x:c>
      <x:c r="J5" s="35" t="n">
        <x:v>45364</x:v>
      </x:c>
      <x:c r="K5" s="35" t="n">
        <x:v>46459</x:v>
      </x:c>
      <x:c r="L5" s="30" t="str">
        <x:v>Windows 11 Pro</x:v>
      </x:c>
      <x:c r="M5" s="30" t="str">
        <x:v>Active</x:v>
      </x:c>
      <x:c r="N5" s="30" t="str">
        <x:v>Enabled</x:v>
      </x:c>
      <x:c r="O5" s="30" t="str">
        <x:v>Healthy</x:v>
      </x:c>
      <x:c r="P5" s="30" t="str">
        <x:v>Current</x:v>
      </x:c>
      <x:c r="Q5" s="35" t="n">
        <x:v>46253</x:v>
      </x:c>
      <x:c r="R5" s="35" t="n">
        <x:v>46250</x:v>
      </x:c>
      <x:c r="S5" s="30" t="str">
        <x:f>IF(K5&lt;TODAY(),"Expired",IF(K5&lt;=TODAY()+90,"Expiring &lt;90d","Active"))</x:f>
        <x:v>Active</x:v>
      </x:c>
      <x:c r="T5" s="30" t="str">
        <x:f>IF(OR(N5="Not Enabled",O5="Attention",P5="Overdue"),"Attention","Compliant")</x:f>
        <x:v>Compliant</x:v>
      </x:c>
      <x:c r="U5" s="30" t="str">
        <x:v>Primary employee device</x:v>
      </x:c>
    </x:row>
    <x:row r="6">
      <x:c r="A6" s="30" t="str">
        <x:v>UE-LT-004</x:v>
      </x:c>
      <x:c r="B6" s="30" t="str">
        <x:v>Laptop</x:v>
      </x:c>
      <x:c r="C6" s="30" t="str">
        <x:v>Dell</x:v>
      </x:c>
      <x:c r="D6" s="30" t="str">
        <x:v>Latitude 7440</x:v>
      </x:c>
      <x:c r="E6" s="30" t="str">
        <x:v>SNUE10004</x:v>
      </x:c>
      <x:c r="F6" s="30" t="str">
        <x:v>UE004</x:v>
      </x:c>
      <x:c r="G6" s="30" t="str">
        <x:f>IF(F6="","",IFERROR(VLOOKUP(F6,Employee_Master!$A$2:$N$31,2,FALSE),""))</x:f>
        <x:v>Demo Employee 04</x:v>
      </x:c>
      <x:c r="H6" s="30" t="str">
        <x:f>IF(F6="","",IFERROR(VLOOKUP(F6,Employee_Master!$A$2:$N$31,4,FALSE),""))</x:f>
        <x:v>Administration</x:v>
      </x:c>
      <x:c r="I6" s="30" t="str">
        <x:f>IF(F6="","Shared / Office",IFERROR(VLOOKUP(F6,Employee_Master!$A$2:$N$31,6,FALSE),""))</x:f>
        <x:v>Pooraka Head Office</x:v>
      </x:c>
      <x:c r="J6" s="35" t="n">
        <x:v>45393</x:v>
      </x:c>
      <x:c r="K6" s="35" t="n">
        <x:v>46488</x:v>
      </x:c>
      <x:c r="L6" s="30" t="str">
        <x:v>Windows 11 Pro</x:v>
      </x:c>
      <x:c r="M6" s="30" t="str">
        <x:v>Active</x:v>
      </x:c>
      <x:c r="N6" s="30" t="str">
        <x:v>Enabled</x:v>
      </x:c>
      <x:c r="O6" s="30" t="str">
        <x:v>Healthy</x:v>
      </x:c>
      <x:c r="P6" s="30" t="str">
        <x:v>Current</x:v>
      </x:c>
      <x:c r="Q6" s="35" t="n">
        <x:v>46250</x:v>
      </x:c>
      <x:c r="R6" s="35" t="n">
        <x:v>46248</x:v>
      </x:c>
      <x:c r="S6" s="30" t="str">
        <x:f>IF(K6&lt;TODAY(),"Expired",IF(K6&lt;=TODAY()+90,"Expiring &lt;90d","Active"))</x:f>
        <x:v>Active</x:v>
      </x:c>
      <x:c r="T6" s="30" t="str">
        <x:f>IF(OR(N6="Not Enabled",O6="Attention",P6="Overdue"),"Attention","Compliant")</x:f>
        <x:v>Compliant</x:v>
      </x:c>
      <x:c r="U6" s="30" t="str">
        <x:v>Primary employee device</x:v>
      </x:c>
    </x:row>
    <x:row r="7">
      <x:c r="A7" s="30" t="str">
        <x:v>UE-LT-005</x:v>
      </x:c>
      <x:c r="B7" s="30" t="str">
        <x:v>Laptop</x:v>
      </x:c>
      <x:c r="C7" s="30" t="str">
        <x:v>HP</x:v>
      </x:c>
      <x:c r="D7" s="30" t="str">
        <x:v>EliteBook 840 G10</x:v>
      </x:c>
      <x:c r="E7" s="30" t="str">
        <x:v>SNUE10005</x:v>
      </x:c>
      <x:c r="F7" s="30" t="str">
        <x:v>UE005</x:v>
      </x:c>
      <x:c r="G7" s="30" t="str">
        <x:f>IF(F7="","",IFERROR(VLOOKUP(F7,Employee_Master!$A$2:$N$31,2,FALSE),""))</x:f>
        <x:v>Demo Employee 05</x:v>
      </x:c>
      <x:c r="H7" s="30" t="str">
        <x:f>IF(F7="","",IFERROR(VLOOKUP(F7,Employee_Master!$A$2:$N$31,4,FALSE),""))</x:f>
        <x:v>Administration</x:v>
      </x:c>
      <x:c r="I7" s="30" t="str">
        <x:f>IF(F7="","Shared / Office",IFERROR(VLOOKUP(F7,Employee_Master!$A$2:$N$31,6,FALSE),""))</x:f>
        <x:v>Pooraka Head Office</x:v>
      </x:c>
      <x:c r="J7" s="35" t="n">
        <x:v>45422</x:v>
      </x:c>
      <x:c r="K7" s="35" t="n">
        <x:v>46517</x:v>
      </x:c>
      <x:c r="L7" s="30" t="str">
        <x:v>Windows 11 Pro</x:v>
      </x:c>
      <x:c r="M7" s="30" t="str">
        <x:v>Active</x:v>
      </x:c>
      <x:c r="N7" s="30" t="str">
        <x:v>Enabled</x:v>
      </x:c>
      <x:c r="O7" s="30" t="str">
        <x:v>Healthy</x:v>
      </x:c>
      <x:c r="P7" s="30" t="str">
        <x:v>Current</x:v>
      </x:c>
      <x:c r="Q7" s="35" t="n">
        <x:v>46247</x:v>
      </x:c>
      <x:c r="R7" s="35" t="n">
        <x:v>46246</x:v>
      </x:c>
      <x:c r="S7" s="30" t="str">
        <x:f>IF(K7&lt;TODAY(),"Expired",IF(K7&lt;=TODAY()+90,"Expiring &lt;90d","Active"))</x:f>
        <x:v>Active</x:v>
      </x:c>
      <x:c r="T7" s="30" t="str">
        <x:f>IF(OR(N7="Not Enabled",O7="Attention",P7="Overdue"),"Attention","Compliant")</x:f>
        <x:v>Compliant</x:v>
      </x:c>
      <x:c r="U7" s="30" t="str">
        <x:v>Primary employee device</x:v>
      </x:c>
    </x:row>
    <x:row r="8">
      <x:c r="A8" s="30" t="str">
        <x:v>UE-LT-006</x:v>
      </x:c>
      <x:c r="B8" s="30" t="str">
        <x:v>Laptop</x:v>
      </x:c>
      <x:c r="C8" s="30" t="str">
        <x:v>Dell</x:v>
      </x:c>
      <x:c r="D8" s="30" t="str">
        <x:v>Latitude 5440</x:v>
      </x:c>
      <x:c r="E8" s="30" t="str">
        <x:v>SNUE10006</x:v>
      </x:c>
      <x:c r="F8" s="30" t="str">
        <x:v>UE006</x:v>
      </x:c>
      <x:c r="G8" s="30" t="str">
        <x:f>IF(F8="","",IFERROR(VLOOKUP(F8,Employee_Master!$A$2:$N$31,2,FALSE),""))</x:f>
        <x:v>Demo Employee 06</x:v>
      </x:c>
      <x:c r="H8" s="30" t="str">
        <x:f>IF(F8="","",IFERROR(VLOOKUP(F8,Employee_Master!$A$2:$N$31,4,FALSE),""))</x:f>
        <x:v>Administration</x:v>
      </x:c>
      <x:c r="I8" s="30" t="str">
        <x:f>IF(F8="","Shared / Office",IFERROR(VLOOKUP(F8,Employee_Master!$A$2:$N$31,6,FALSE),""))</x:f>
        <x:v>Pooraka Head Office</x:v>
      </x:c>
      <x:c r="J8" s="35" t="n">
        <x:v>45451</x:v>
      </x:c>
      <x:c r="K8" s="35" t="n">
        <x:v>46546</x:v>
      </x:c>
      <x:c r="L8" s="30" t="str">
        <x:v>Windows 11 Pro</x:v>
      </x:c>
      <x:c r="M8" s="30" t="str">
        <x:v>Active</x:v>
      </x:c>
      <x:c r="N8" s="30" t="str">
        <x:v>Enabled</x:v>
      </x:c>
      <x:c r="O8" s="30" t="str">
        <x:v>Healthy</x:v>
      </x:c>
      <x:c r="P8" s="30" t="str">
        <x:v>Overdue</x:v>
      </x:c>
      <x:c r="Q8" s="35" t="n">
        <x:v>46244</x:v>
      </x:c>
      <x:c r="R8" s="35" t="n">
        <x:v>46244</x:v>
      </x:c>
      <x:c r="S8" s="30" t="str">
        <x:f>IF(K8&lt;TODAY(),"Expired",IF(K8&lt;=TODAY()+90,"Expiring &lt;90d","Active"))</x:f>
        <x:v>Active</x:v>
      </x:c>
      <x:c r="T8" s="30" t="str">
        <x:f>IF(OR(N8="Not Enabled",O8="Attention",P8="Overdue"),"Attention","Compliant")</x:f>
        <x:v>Attention</x:v>
      </x:c>
      <x:c r="U8" s="30" t="str">
        <x:v>Primary employee device</x:v>
      </x:c>
    </x:row>
    <x:row r="9">
      <x:c r="A9" s="30" t="str">
        <x:v>UE-LT-007</x:v>
      </x:c>
      <x:c r="B9" s="30" t="str">
        <x:v>Laptop</x:v>
      </x:c>
      <x:c r="C9" s="30" t="str">
        <x:v>HP</x:v>
      </x:c>
      <x:c r="D9" s="30" t="str">
        <x:v>ProBook 440 G10</x:v>
      </x:c>
      <x:c r="E9" s="30" t="str">
        <x:v>SNUE10007</x:v>
      </x:c>
      <x:c r="F9" s="30" t="str">
        <x:v>UE007</x:v>
      </x:c>
      <x:c r="G9" s="30" t="str">
        <x:f>IF(F9="","",IFERROR(VLOOKUP(F9,Employee_Master!$A$2:$N$31,2,FALSE),""))</x:f>
        <x:v>Demo Employee 07</x:v>
      </x:c>
      <x:c r="H9" s="30" t="str">
        <x:f>IF(F9="","",IFERROR(VLOOKUP(F9,Employee_Master!$A$2:$N$31,4,FALSE),""))</x:f>
        <x:v>Administration</x:v>
      </x:c>
      <x:c r="I9" s="30" t="str">
        <x:f>IF(F9="","Shared / Office",IFERROR(VLOOKUP(F9,Employee_Master!$A$2:$N$31,6,FALSE),""))</x:f>
        <x:v>Pooraka Head Office</x:v>
      </x:c>
      <x:c r="J9" s="35" t="n">
        <x:v>45480</x:v>
      </x:c>
      <x:c r="K9" s="35" t="n">
        <x:v>46575</x:v>
      </x:c>
      <x:c r="L9" s="30" t="str">
        <x:v>Windows 11 Pro</x:v>
      </x:c>
      <x:c r="M9" s="30" t="str">
        <x:v>Active</x:v>
      </x:c>
      <x:c r="N9" s="30" t="str">
        <x:v>Enabled</x:v>
      </x:c>
      <x:c r="O9" s="30" t="str">
        <x:v>Healthy</x:v>
      </x:c>
      <x:c r="P9" s="30" t="str">
        <x:v>Current</x:v>
      </x:c>
      <x:c r="Q9" s="35" t="n">
        <x:v>46241</x:v>
      </x:c>
      <x:c r="R9" s="35" t="n">
        <x:v>46242</x:v>
      </x:c>
      <x:c r="S9" s="30" t="str">
        <x:f>IF(K9&lt;TODAY(),"Expired",IF(K9&lt;=TODAY()+90,"Expiring &lt;90d","Active"))</x:f>
        <x:v>Active</x:v>
      </x:c>
      <x:c r="T9" s="30" t="str">
        <x:f>IF(OR(N9="Not Enabled",O9="Attention",P9="Overdue"),"Attention","Compliant")</x:f>
        <x:v>Compliant</x:v>
      </x:c>
      <x:c r="U9" s="30" t="str">
        <x:v>Primary employee device</x:v>
      </x:c>
    </x:row>
    <x:row r="10">
      <x:c r="A10" s="30" t="str">
        <x:v>UE-LT-008</x:v>
      </x:c>
      <x:c r="B10" s="30" t="str">
        <x:v>Laptop</x:v>
      </x:c>
      <x:c r="C10" s="30" t="str">
        <x:v>Lenovo</x:v>
      </x:c>
      <x:c r="D10" s="30" t="str">
        <x:v>ThinkPad T14 Gen 4</x:v>
      </x:c>
      <x:c r="E10" s="30" t="str">
        <x:v>SNUE10008</x:v>
      </x:c>
      <x:c r="F10" s="30" t="str">
        <x:v>UE008</x:v>
      </x:c>
      <x:c r="G10" s="30" t="str">
        <x:f>IF(F10="","",IFERROR(VLOOKUP(F10,Employee_Master!$A$2:$N$31,2,FALSE),""))</x:f>
        <x:v>Demo Employee 08</x:v>
      </x:c>
      <x:c r="H10" s="30" t="str">
        <x:f>IF(F10="","",IFERROR(VLOOKUP(F10,Employee_Master!$A$2:$N$31,4,FALSE),""))</x:f>
        <x:v>Sales</x:v>
      </x:c>
      <x:c r="I10" s="30" t="str">
        <x:f>IF(F10="","Shared / Office",IFERROR(VLOOKUP(F10,Employee_Master!$A$2:$N$31,6,FALSE),""))</x:f>
        <x:v>Pooraka Head Office</x:v>
      </x:c>
      <x:c r="J10" s="35" t="n">
        <x:v>45509</x:v>
      </x:c>
      <x:c r="K10" s="35" t="n">
        <x:v>46604</x:v>
      </x:c>
      <x:c r="L10" s="30" t="str">
        <x:v>Windows 11 Pro</x:v>
      </x:c>
      <x:c r="M10" s="30" t="str">
        <x:v>Active</x:v>
      </x:c>
      <x:c r="N10" s="30" t="str">
        <x:v>Not Enabled</x:v>
      </x:c>
      <x:c r="O10" s="30" t="str">
        <x:v>Healthy</x:v>
      </x:c>
      <x:c r="P10" s="30" t="str">
        <x:v>Current</x:v>
      </x:c>
      <x:c r="Q10" s="35" t="n">
        <x:v>46238</x:v>
      </x:c>
      <x:c r="R10" s="35" t="n">
        <x:v>46240</x:v>
      </x:c>
      <x:c r="S10" s="30" t="str">
        <x:f>IF(K10&lt;TODAY(),"Expired",IF(K10&lt;=TODAY()+90,"Expiring &lt;90d","Active"))</x:f>
        <x:v>Active</x:v>
      </x:c>
      <x:c r="T10" s="30" t="str">
        <x:f>IF(OR(N10="Not Enabled",O10="Attention",P10="Overdue"),"Attention","Compliant")</x:f>
        <x:v>Attention</x:v>
      </x:c>
      <x:c r="U10" s="30" t="str">
        <x:v>Primary employee device</x:v>
      </x:c>
    </x:row>
    <x:row r="11">
      <x:c r="A11" s="30" t="str">
        <x:v>UE-LT-009</x:v>
      </x:c>
      <x:c r="B11" s="30" t="str">
        <x:v>Laptop</x:v>
      </x:c>
      <x:c r="C11" s="30" t="str">
        <x:v>Dell</x:v>
      </x:c>
      <x:c r="D11" s="30" t="str">
        <x:v>Latitude 7440</x:v>
      </x:c>
      <x:c r="E11" s="30" t="str">
        <x:v>SNUE10009</x:v>
      </x:c>
      <x:c r="F11" s="30" t="str">
        <x:v>UE009</x:v>
      </x:c>
      <x:c r="G11" s="30" t="str">
        <x:f>IF(F11="","",IFERROR(VLOOKUP(F11,Employee_Master!$A$2:$N$31,2,FALSE),""))</x:f>
        <x:v>Demo Employee 09</x:v>
      </x:c>
      <x:c r="H11" s="30" t="str">
        <x:f>IF(F11="","",IFERROR(VLOOKUP(F11,Employee_Master!$A$2:$N$31,4,FALSE),""))</x:f>
        <x:v>Sales</x:v>
      </x:c>
      <x:c r="I11" s="30" t="str">
        <x:f>IF(F11="","Shared / Office",IFERROR(VLOOKUP(F11,Employee_Master!$A$2:$N$31,6,FALSE),""))</x:f>
        <x:v>Pooraka Head Office</x:v>
      </x:c>
      <x:c r="J11" s="35" t="n">
        <x:v>45538</x:v>
      </x:c>
      <x:c r="K11" s="35" t="n">
        <x:v>46633</x:v>
      </x:c>
      <x:c r="L11" s="30" t="str">
        <x:v>Windows 11 Pro</x:v>
      </x:c>
      <x:c r="M11" s="30" t="str">
        <x:v>Active</x:v>
      </x:c>
      <x:c r="N11" s="30" t="str">
        <x:v>Enabled</x:v>
      </x:c>
      <x:c r="O11" s="30" t="str">
        <x:v>Healthy</x:v>
      </x:c>
      <x:c r="P11" s="30" t="str">
        <x:v>Current</x:v>
      </x:c>
      <x:c r="Q11" s="35" t="n">
        <x:v>46235</x:v>
      </x:c>
      <x:c r="R11" s="35" t="n">
        <x:v>46238</x:v>
      </x:c>
      <x:c r="S11" s="30" t="str">
        <x:f>IF(K11&lt;TODAY(),"Expired",IF(K11&lt;=TODAY()+90,"Expiring &lt;90d","Active"))</x:f>
        <x:v>Active</x:v>
      </x:c>
      <x:c r="T11" s="30" t="str">
        <x:f>IF(OR(N11="Not Enabled",O11="Attention",P11="Overdue"),"Attention","Compliant")</x:f>
        <x:v>Compliant</x:v>
      </x:c>
      <x:c r="U11" s="30" t="str">
        <x:v>Primary employee device</x:v>
      </x:c>
    </x:row>
    <x:row r="12">
      <x:c r="A12" s="30" t="str">
        <x:v>UE-LT-010</x:v>
      </x:c>
      <x:c r="B12" s="30" t="str">
        <x:v>Laptop</x:v>
      </x:c>
      <x:c r="C12" s="30" t="str">
        <x:v>HP</x:v>
      </x:c>
      <x:c r="D12" s="30" t="str">
        <x:v>EliteBook 840 G10</x:v>
      </x:c>
      <x:c r="E12" s="30" t="str">
        <x:v>SNUE10010</x:v>
      </x:c>
      <x:c r="F12" s="30" t="str">
        <x:v>UE010</x:v>
      </x:c>
      <x:c r="G12" s="30" t="str">
        <x:f>IF(F12="","",IFERROR(VLOOKUP(F12,Employee_Master!$A$2:$N$31,2,FALSE),""))</x:f>
        <x:v>Demo Employee 10</x:v>
      </x:c>
      <x:c r="H12" s="30" t="str">
        <x:f>IF(F12="","",IFERROR(VLOOKUP(F12,Employee_Master!$A$2:$N$31,4,FALSE),""))</x:f>
        <x:v>Sales</x:v>
      </x:c>
      <x:c r="I12" s="30" t="str">
        <x:f>IF(F12="","Shared / Office",IFERROR(VLOOKUP(F12,Employee_Master!$A$2:$N$31,6,FALSE),""))</x:f>
        <x:v>Pooraka Head Office</x:v>
      </x:c>
      <x:c r="J12" s="35" t="n">
        <x:v>45567</x:v>
      </x:c>
      <x:c r="K12" s="35" t="n">
        <x:v>46662</x:v>
      </x:c>
      <x:c r="L12" s="30" t="str">
        <x:v>Windows 11 Pro</x:v>
      </x:c>
      <x:c r="M12" s="30" t="str">
        <x:v>Active</x:v>
      </x:c>
      <x:c r="N12" s="30" t="str">
        <x:v>Enabled</x:v>
      </x:c>
      <x:c r="O12" s="30" t="str">
        <x:v>Healthy</x:v>
      </x:c>
      <x:c r="P12" s="30" t="str">
        <x:v>Current</x:v>
      </x:c>
      <x:c r="Q12" s="35" t="n">
        <x:v>46257</x:v>
      </x:c>
      <x:c r="R12" s="35" t="n">
        <x:v>46236</x:v>
      </x:c>
      <x:c r="S12" s="30" t="str">
        <x:f>IF(K12&lt;TODAY(),"Expired",IF(K12&lt;=TODAY()+90,"Expiring &lt;90d","Active"))</x:f>
        <x:v>Active</x:v>
      </x:c>
      <x:c r="T12" s="30" t="str">
        <x:f>IF(OR(N12="Not Enabled",O12="Attention",P12="Overdue"),"Attention","Compliant")</x:f>
        <x:v>Compliant</x:v>
      </x:c>
      <x:c r="U12" s="30" t="str">
        <x:v>Primary employee device</x:v>
      </x:c>
    </x:row>
    <x:row r="13">
      <x:c r="A13" s="30" t="str">
        <x:v>UE-LT-011</x:v>
      </x:c>
      <x:c r="B13" s="30" t="str">
        <x:v>Laptop</x:v>
      </x:c>
      <x:c r="C13" s="30" t="str">
        <x:v>Dell</x:v>
      </x:c>
      <x:c r="D13" s="30" t="str">
        <x:v>Latitude 5440</x:v>
      </x:c>
      <x:c r="E13" s="30" t="str">
        <x:v>SNUE10011</x:v>
      </x:c>
      <x:c r="F13" s="30" t="str">
        <x:v>UE011</x:v>
      </x:c>
      <x:c r="G13" s="30" t="str">
        <x:f>IF(F13="","",IFERROR(VLOOKUP(F13,Employee_Master!$A$2:$N$31,2,FALSE),""))</x:f>
        <x:v>Demo Employee 11</x:v>
      </x:c>
      <x:c r="H13" s="30" t="str">
        <x:f>IF(F13="","",IFERROR(VLOOKUP(F13,Employee_Master!$A$2:$N$31,4,FALSE),""))</x:f>
        <x:v>Sales</x:v>
      </x:c>
      <x:c r="I13" s="30" t="str">
        <x:f>IF(F13="","Shared / Office",IFERROR(VLOOKUP(F13,Employee_Master!$A$2:$N$31,6,FALSE),""))</x:f>
        <x:v>Pooraka Head Office</x:v>
      </x:c>
      <x:c r="J13" s="35" t="n">
        <x:v>45596</x:v>
      </x:c>
      <x:c r="K13" s="35" t="n">
        <x:v>46691</x:v>
      </x:c>
      <x:c r="L13" s="30" t="str">
        <x:v>Windows 11 Pro</x:v>
      </x:c>
      <x:c r="M13" s="30" t="str">
        <x:v>Active</x:v>
      </x:c>
      <x:c r="N13" s="30" t="str">
        <x:v>Enabled</x:v>
      </x:c>
      <x:c r="O13" s="30" t="str">
        <x:v>Healthy</x:v>
      </x:c>
      <x:c r="P13" s="30" t="str">
        <x:v>Current</x:v>
      </x:c>
      <x:c r="Q13" s="35" t="n">
        <x:v>46254</x:v>
      </x:c>
      <x:c r="R13" s="35" t="n">
        <x:v>46234</x:v>
      </x:c>
      <x:c r="S13" s="30" t="str">
        <x:f>IF(K13&lt;TODAY(),"Expired",IF(K13&lt;=TODAY()+90,"Expiring &lt;90d","Active"))</x:f>
        <x:v>Active</x:v>
      </x:c>
      <x:c r="T13" s="30" t="str">
        <x:f>IF(OR(N13="Not Enabled",O13="Attention",P13="Overdue"),"Attention","Compliant")</x:f>
        <x:v>Compliant</x:v>
      </x:c>
      <x:c r="U13" s="30" t="str">
        <x:v>Primary employee device</x:v>
      </x:c>
    </x:row>
    <x:row r="14">
      <x:c r="A14" s="30" t="str">
        <x:v>UE-LT-012</x:v>
      </x:c>
      <x:c r="B14" s="30" t="str">
        <x:v>Laptop</x:v>
      </x:c>
      <x:c r="C14" s="30" t="str">
        <x:v>HP</x:v>
      </x:c>
      <x:c r="D14" s="30" t="str">
        <x:v>ProBook 440 G10</x:v>
      </x:c>
      <x:c r="E14" s="30" t="str">
        <x:v>SNUE10012</x:v>
      </x:c>
      <x:c r="F14" s="30" t="str">
        <x:v>UE012</x:v>
      </x:c>
      <x:c r="G14" s="30" t="str">
        <x:f>IF(F14="","",IFERROR(VLOOKUP(F14,Employee_Master!$A$2:$N$31,2,FALSE),""))</x:f>
        <x:v>Demo Employee 12</x:v>
      </x:c>
      <x:c r="H14" s="30" t="str">
        <x:f>IF(F14="","",IFERROR(VLOOKUP(F14,Employee_Master!$A$2:$N$31,4,FALSE),""))</x:f>
        <x:v>Sales</x:v>
      </x:c>
      <x:c r="I14" s="30" t="str">
        <x:f>IF(F14="","Shared / Office",IFERROR(VLOOKUP(F14,Employee_Master!$A$2:$N$31,6,FALSE),""))</x:f>
        <x:v>Pooraka Head Office</x:v>
      </x:c>
      <x:c r="J14" s="35" t="n">
        <x:v>45625</x:v>
      </x:c>
      <x:c r="K14" s="35" t="n">
        <x:v>46720</x:v>
      </x:c>
      <x:c r="L14" s="30" t="str">
        <x:v>Windows 11 Pro</x:v>
      </x:c>
      <x:c r="M14" s="30" t="str">
        <x:v>Active</x:v>
      </x:c>
      <x:c r="N14" s="30" t="str">
        <x:v>Enabled</x:v>
      </x:c>
      <x:c r="O14" s="30" t="str">
        <x:v>Attention</x:v>
      </x:c>
      <x:c r="P14" s="30" t="str">
        <x:v>Current</x:v>
      </x:c>
      <x:c r="Q14" s="35" t="n">
        <x:v>46251</x:v>
      </x:c>
      <x:c r="R14" s="35" t="n">
        <x:v>46232</x:v>
      </x:c>
      <x:c r="S14" s="30" t="str">
        <x:f>IF(K14&lt;TODAY(),"Expired",IF(K14&lt;=TODAY()+90,"Expiring &lt;90d","Active"))</x:f>
        <x:v>Active</x:v>
      </x:c>
      <x:c r="T14" s="30" t="str">
        <x:f>IF(OR(N14="Not Enabled",O14="Attention",P14="Overdue"),"Attention","Compliant")</x:f>
        <x:v>Attention</x:v>
      </x:c>
      <x:c r="U14" s="30" t="str">
        <x:v>Primary employee device</x:v>
      </x:c>
    </x:row>
    <x:row r="15">
      <x:c r="A15" s="30" t="str">
        <x:v>UE-LT-013</x:v>
      </x:c>
      <x:c r="B15" s="30" t="str">
        <x:v>Laptop</x:v>
      </x:c>
      <x:c r="C15" s="30" t="str">
        <x:v>Lenovo</x:v>
      </x:c>
      <x:c r="D15" s="30" t="str">
        <x:v>ThinkPad T14 Gen 4</x:v>
      </x:c>
      <x:c r="E15" s="30" t="str">
        <x:v>SNUE10013</x:v>
      </x:c>
      <x:c r="F15" s="30" t="str">
        <x:v>UE013</x:v>
      </x:c>
      <x:c r="G15" s="30" t="str">
        <x:f>IF(F15="","",IFERROR(VLOOKUP(F15,Employee_Master!$A$2:$N$31,2,FALSE),""))</x:f>
        <x:v>Demo Employee 13</x:v>
      </x:c>
      <x:c r="H15" s="30" t="str">
        <x:f>IF(F15="","",IFERROR(VLOOKUP(F15,Employee_Master!$A$2:$N$31,4,FALSE),""))</x:f>
        <x:v>Finance</x:v>
      </x:c>
      <x:c r="I15" s="30" t="str">
        <x:f>IF(F15="","Shared / Office",IFERROR(VLOOKUP(F15,Employee_Master!$A$2:$N$31,6,FALSE),""))</x:f>
        <x:v>Pooraka Head Office</x:v>
      </x:c>
      <x:c r="J15" s="35" t="n">
        <x:v>45654</x:v>
      </x:c>
      <x:c r="K15" s="35" t="n">
        <x:v>46749</x:v>
      </x:c>
      <x:c r="L15" s="30" t="str">
        <x:v>Windows 11 Pro</x:v>
      </x:c>
      <x:c r="M15" s="30" t="str">
        <x:v>Active</x:v>
      </x:c>
      <x:c r="N15" s="30" t="str">
        <x:v>Enabled</x:v>
      </x:c>
      <x:c r="O15" s="30" t="str">
        <x:v>Healthy</x:v>
      </x:c>
      <x:c r="P15" s="30" t="str">
        <x:v>Overdue</x:v>
      </x:c>
      <x:c r="Q15" s="35" t="n">
        <x:v>46248</x:v>
      </x:c>
      <x:c r="R15" s="35" t="n">
        <x:v>46230</x:v>
      </x:c>
      <x:c r="S15" s="30" t="str">
        <x:f>IF(K15&lt;TODAY(),"Expired",IF(K15&lt;=TODAY()+90,"Expiring &lt;90d","Active"))</x:f>
        <x:v>Active</x:v>
      </x:c>
      <x:c r="T15" s="30" t="str">
        <x:f>IF(OR(N15="Not Enabled",O15="Attention",P15="Overdue"),"Attention","Compliant")</x:f>
        <x:v>Attention</x:v>
      </x:c>
      <x:c r="U15" s="30" t="str">
        <x:v>Primary employee device</x:v>
      </x:c>
    </x:row>
    <x:row r="16">
      <x:c r="A16" s="30" t="str">
        <x:v>UE-LT-014</x:v>
      </x:c>
      <x:c r="B16" s="30" t="str">
        <x:v>Laptop</x:v>
      </x:c>
      <x:c r="C16" s="30" t="str">
        <x:v>Dell</x:v>
      </x:c>
      <x:c r="D16" s="30" t="str">
        <x:v>Latitude 7440</x:v>
      </x:c>
      <x:c r="E16" s="30" t="str">
        <x:v>SNUE10014</x:v>
      </x:c>
      <x:c r="F16" s="30" t="str">
        <x:v>UE014</x:v>
      </x:c>
      <x:c r="G16" s="30" t="str">
        <x:f>IF(F16="","",IFERROR(VLOOKUP(F16,Employee_Master!$A$2:$N$31,2,FALSE),""))</x:f>
        <x:v>Demo Employee 14</x:v>
      </x:c>
      <x:c r="H16" s="30" t="str">
        <x:f>IF(F16="","",IFERROR(VLOOKUP(F16,Employee_Master!$A$2:$N$31,4,FALSE),""))</x:f>
        <x:v>Finance</x:v>
      </x:c>
      <x:c r="I16" s="30" t="str">
        <x:f>IF(F16="","Shared / Office",IFERROR(VLOOKUP(F16,Employee_Master!$A$2:$N$31,6,FALSE),""))</x:f>
        <x:v>Pooraka Head Office</x:v>
      </x:c>
      <x:c r="J16" s="35" t="n">
        <x:v>45683</x:v>
      </x:c>
      <x:c r="K16" s="35" t="n">
        <x:v>46778</x:v>
      </x:c>
      <x:c r="L16" s="30" t="str">
        <x:v>Windows 11 Pro</x:v>
      </x:c>
      <x:c r="M16" s="30" t="str">
        <x:v>Active</x:v>
      </x:c>
      <x:c r="N16" s="30" t="str">
        <x:v>Enabled</x:v>
      </x:c>
      <x:c r="O16" s="30" t="str">
        <x:v>Healthy</x:v>
      </x:c>
      <x:c r="P16" s="30" t="str">
        <x:v>Current</x:v>
      </x:c>
      <x:c r="Q16" s="35" t="n">
        <x:v>46245</x:v>
      </x:c>
      <x:c r="R16" s="35" t="n">
        <x:v>46228</x:v>
      </x:c>
      <x:c r="S16" s="30" t="str">
        <x:f>IF(K16&lt;TODAY(),"Expired",IF(K16&lt;=TODAY()+90,"Expiring &lt;90d","Active"))</x:f>
        <x:v>Active</x:v>
      </x:c>
      <x:c r="T16" s="30" t="str">
        <x:f>IF(OR(N16="Not Enabled",O16="Attention",P16="Overdue"),"Attention","Compliant")</x:f>
        <x:v>Compliant</x:v>
      </x:c>
      <x:c r="U16" s="30" t="str">
        <x:v>Primary employee device</x:v>
      </x:c>
    </x:row>
    <x:row r="17">
      <x:c r="A17" s="30" t="str">
        <x:v>UE-LT-015</x:v>
      </x:c>
      <x:c r="B17" s="30" t="str">
        <x:v>Laptop</x:v>
      </x:c>
      <x:c r="C17" s="30" t="str">
        <x:v>HP</x:v>
      </x:c>
      <x:c r="D17" s="30" t="str">
        <x:v>EliteBook 840 G10</x:v>
      </x:c>
      <x:c r="E17" s="30" t="str">
        <x:v>SNUE10015</x:v>
      </x:c>
      <x:c r="F17" s="30" t="str">
        <x:v>UE015</x:v>
      </x:c>
      <x:c r="G17" s="30" t="str">
        <x:f>IF(F17="","",IFERROR(VLOOKUP(F17,Employee_Master!$A$2:$N$31,2,FALSE),""))</x:f>
        <x:v>Demo Employee 15</x:v>
      </x:c>
      <x:c r="H17" s="30" t="str">
        <x:f>IF(F17="","",IFERROR(VLOOKUP(F17,Employee_Master!$A$2:$N$31,4,FALSE),""))</x:f>
        <x:v>Finance</x:v>
      </x:c>
      <x:c r="I17" s="30" t="str">
        <x:f>IF(F17="","Shared / Office",IFERROR(VLOOKUP(F17,Employee_Master!$A$2:$N$31,6,FALSE),""))</x:f>
        <x:v>Pooraka Head Office</x:v>
      </x:c>
      <x:c r="J17" s="35" t="n">
        <x:v>45712</x:v>
      </x:c>
      <x:c r="K17" s="35" t="n">
        <x:v>46807</x:v>
      </x:c>
      <x:c r="L17" s="30" t="str">
        <x:v>Windows 11 Pro</x:v>
      </x:c>
      <x:c r="M17" s="30" t="str">
        <x:v>Active</x:v>
      </x:c>
      <x:c r="N17" s="30" t="str">
        <x:v>Enabled</x:v>
      </x:c>
      <x:c r="O17" s="30" t="str">
        <x:v>Healthy</x:v>
      </x:c>
      <x:c r="P17" s="30" t="str">
        <x:v>Current</x:v>
      </x:c>
      <x:c r="Q17" s="35" t="n">
        <x:v>46242</x:v>
      </x:c>
      <x:c r="R17" s="35" t="n">
        <x:v>46226</x:v>
      </x:c>
      <x:c r="S17" s="30" t="str">
        <x:f>IF(K17&lt;TODAY(),"Expired",IF(K17&lt;=TODAY()+90,"Expiring &lt;90d","Active"))</x:f>
        <x:v>Active</x:v>
      </x:c>
      <x:c r="T17" s="30" t="str">
        <x:f>IF(OR(N17="Not Enabled",O17="Attention",P17="Overdue"),"Attention","Compliant")</x:f>
        <x:v>Compliant</x:v>
      </x:c>
      <x:c r="U17" s="30" t="str">
        <x:v>Primary employee device</x:v>
      </x:c>
    </x:row>
    <x:row r="18">
      <x:c r="A18" s="30" t="str">
        <x:v>UE-LT-016</x:v>
      </x:c>
      <x:c r="B18" s="30" t="str">
        <x:v>Laptop</x:v>
      </x:c>
      <x:c r="C18" s="30" t="str">
        <x:v>Dell</x:v>
      </x:c>
      <x:c r="D18" s="30" t="str">
        <x:v>Latitude 5440</x:v>
      </x:c>
      <x:c r="E18" s="30" t="str">
        <x:v>SNUE10016</x:v>
      </x:c>
      <x:c r="F18" s="30" t="str">
        <x:v>UE016</x:v>
      </x:c>
      <x:c r="G18" s="30" t="str">
        <x:f>IF(F18="","",IFERROR(VLOOKUP(F18,Employee_Master!$A$2:$N$31,2,FALSE),""))</x:f>
        <x:v>Demo Employee 16</x:v>
      </x:c>
      <x:c r="H18" s="30" t="str">
        <x:f>IF(F18="","",IFERROR(VLOOKUP(F18,Employee_Master!$A$2:$N$31,4,FALSE),""))</x:f>
        <x:v>Estimating &amp; Planning</x:v>
      </x:c>
      <x:c r="I18" s="30" t="str">
        <x:f>IF(F18="","Shared / Office",IFERROR(VLOOKUP(F18,Employee_Master!$A$2:$N$31,6,FALSE),""))</x:f>
        <x:v>Pooraka Head Office</x:v>
      </x:c>
      <x:c r="J18" s="35" t="n">
        <x:v>45741</x:v>
      </x:c>
      <x:c r="K18" s="35" t="n">
        <x:v>46836</x:v>
      </x:c>
      <x:c r="L18" s="30" t="str">
        <x:v>Windows 11 Pro</x:v>
      </x:c>
      <x:c r="M18" s="30" t="str">
        <x:v>Active</x:v>
      </x:c>
      <x:c r="N18" s="30" t="str">
        <x:v>Enabled</x:v>
      </x:c>
      <x:c r="O18" s="30" t="str">
        <x:v>Healthy</x:v>
      </x:c>
      <x:c r="P18" s="30" t="str">
        <x:v>Current</x:v>
      </x:c>
      <x:c r="Q18" s="35" t="n">
        <x:v>46239</x:v>
      </x:c>
      <x:c r="R18" s="35" t="n">
        <x:v>46224</x:v>
      </x:c>
      <x:c r="S18" s="30" t="str">
        <x:f>IF(K18&lt;TODAY(),"Expired",IF(K18&lt;=TODAY()+90,"Expiring &lt;90d","Active"))</x:f>
        <x:v>Active</x:v>
      </x:c>
      <x:c r="T18" s="30" t="str">
        <x:f>IF(OR(N18="Not Enabled",O18="Attention",P18="Overdue"),"Attention","Compliant")</x:f>
        <x:v>Compliant</x:v>
      </x:c>
      <x:c r="U18" s="30" t="str">
        <x:v>Primary employee device</x:v>
      </x:c>
    </x:row>
    <x:row r="19">
      <x:c r="A19" s="30" t="str">
        <x:v>UE-LT-017</x:v>
      </x:c>
      <x:c r="B19" s="30" t="str">
        <x:v>Laptop</x:v>
      </x:c>
      <x:c r="C19" s="30" t="str">
        <x:v>HP</x:v>
      </x:c>
      <x:c r="D19" s="30" t="str">
        <x:v>ProBook 440 G10</x:v>
      </x:c>
      <x:c r="E19" s="30" t="str">
        <x:v>SNUE10017</x:v>
      </x:c>
      <x:c r="F19" s="30" t="str">
        <x:v>UE017</x:v>
      </x:c>
      <x:c r="G19" s="30" t="str">
        <x:f>IF(F19="","",IFERROR(VLOOKUP(F19,Employee_Master!$A$2:$N$31,2,FALSE),""))</x:f>
        <x:v>Demo Employee 17</x:v>
      </x:c>
      <x:c r="H19" s="30" t="str">
        <x:f>IF(F19="","",IFERROR(VLOOKUP(F19,Employee_Master!$A$2:$N$31,4,FALSE),""))</x:f>
        <x:v>Estimating &amp; Planning</x:v>
      </x:c>
      <x:c r="I19" s="30" t="str">
        <x:f>IF(F19="","Shared / Office",IFERROR(VLOOKUP(F19,Employee_Master!$A$2:$N$31,6,FALSE),""))</x:f>
        <x:v>Pooraka Head Office</x:v>
      </x:c>
      <x:c r="J19" s="35" t="n">
        <x:v>45770</x:v>
      </x:c>
      <x:c r="K19" s="35" t="n">
        <x:v>46865</x:v>
      </x:c>
      <x:c r="L19" s="30" t="str">
        <x:v>Windows 11 Pro</x:v>
      </x:c>
      <x:c r="M19" s="30" t="str">
        <x:v>Active</x:v>
      </x:c>
      <x:c r="N19" s="30" t="str">
        <x:v>Enabled</x:v>
      </x:c>
      <x:c r="O19" s="30" t="str">
        <x:v>Healthy</x:v>
      </x:c>
      <x:c r="P19" s="30" t="str">
        <x:v>Current</x:v>
      </x:c>
      <x:c r="Q19" s="35" t="n">
        <x:v>46236</x:v>
      </x:c>
      <x:c r="R19" s="35" t="n">
        <x:v>46222</x:v>
      </x:c>
      <x:c r="S19" s="30" t="str">
        <x:f>IF(K19&lt;TODAY(),"Expired",IF(K19&lt;=TODAY()+90,"Expiring &lt;90d","Active"))</x:f>
        <x:v>Active</x:v>
      </x:c>
      <x:c r="T19" s="30" t="str">
        <x:f>IF(OR(N19="Not Enabled",O19="Attention",P19="Overdue"),"Attention","Compliant")</x:f>
        <x:v>Compliant</x:v>
      </x:c>
      <x:c r="U19" s="30" t="str">
        <x:v>Primary employee device</x:v>
      </x:c>
    </x:row>
    <x:row r="20">
      <x:c r="A20" s="30" t="str">
        <x:v>UE-LT-018</x:v>
      </x:c>
      <x:c r="B20" s="30" t="str">
        <x:v>Laptop</x:v>
      </x:c>
      <x:c r="C20" s="30" t="str">
        <x:v>Lenovo</x:v>
      </x:c>
      <x:c r="D20" s="30" t="str">
        <x:v>ThinkPad T14 Gen 4</x:v>
      </x:c>
      <x:c r="E20" s="30" t="str">
        <x:v>SNUE10018</x:v>
      </x:c>
      <x:c r="F20" s="30" t="str">
        <x:v>UE018</x:v>
      </x:c>
      <x:c r="G20" s="30" t="str">
        <x:f>IF(F20="","",IFERROR(VLOOKUP(F20,Employee_Master!$A$2:$N$31,2,FALSE),""))</x:f>
        <x:v>Demo Employee 18</x:v>
      </x:c>
      <x:c r="H20" s="30" t="str">
        <x:f>IF(F20="","",IFERROR(VLOOKUP(F20,Employee_Master!$A$2:$N$31,4,FALSE),""))</x:f>
        <x:v>Estimating &amp; Planning</x:v>
      </x:c>
      <x:c r="I20" s="30" t="str">
        <x:f>IF(F20="","Shared / Office",IFERROR(VLOOKUP(F20,Employee_Master!$A$2:$N$31,6,FALSE),""))</x:f>
        <x:v>Pooraka Head Office</x:v>
      </x:c>
      <x:c r="J20" s="35" t="n">
        <x:v>45799</x:v>
      </x:c>
      <x:c r="K20" s="35" t="n">
        <x:v>46894</x:v>
      </x:c>
      <x:c r="L20" s="30" t="str">
        <x:v>Windows 11 Pro</x:v>
      </x:c>
      <x:c r="M20" s="30" t="str">
        <x:v>Active</x:v>
      </x:c>
      <x:c r="N20" s="30" t="str">
        <x:v>Enabled</x:v>
      </x:c>
      <x:c r="O20" s="30" t="str">
        <x:v>Healthy</x:v>
      </x:c>
      <x:c r="P20" s="30" t="str">
        <x:v>Current</x:v>
      </x:c>
      <x:c r="Q20" s="35" t="n">
        <x:v>46258</x:v>
      </x:c>
      <x:c r="R20" s="35" t="n">
        <x:v>46220</x:v>
      </x:c>
      <x:c r="S20" s="30" t="str">
        <x:f>IF(K20&lt;TODAY(),"Expired",IF(K20&lt;=TODAY()+90,"Expiring &lt;90d","Active"))</x:f>
        <x:v>Active</x:v>
      </x:c>
      <x:c r="T20" s="30" t="str">
        <x:f>IF(OR(N20="Not Enabled",O20="Attention",P20="Overdue"),"Attention","Compliant")</x:f>
        <x:v>Compliant</x:v>
      </x:c>
      <x:c r="U20" s="30" t="str">
        <x:v>Primary employee device</x:v>
      </x:c>
    </x:row>
    <x:row r="21">
      <x:c r="A21" s="30" t="str">
        <x:v>UE-LT-019</x:v>
      </x:c>
      <x:c r="B21" s="30" t="str">
        <x:v>Laptop</x:v>
      </x:c>
      <x:c r="C21" s="30" t="str">
        <x:v>Dell</x:v>
      </x:c>
      <x:c r="D21" s="30" t="str">
        <x:v>Latitude 7440</x:v>
      </x:c>
      <x:c r="E21" s="30" t="str">
        <x:v>SNUE10019</x:v>
      </x:c>
      <x:c r="F21" s="30" t="str">
        <x:v>UE019</x:v>
      </x:c>
      <x:c r="G21" s="30" t="str">
        <x:f>IF(F21="","",IFERROR(VLOOKUP(F21,Employee_Master!$A$2:$N$31,2,FALSE),""))</x:f>
        <x:v>Demo Employee 19</x:v>
      </x:c>
      <x:c r="H21" s="30" t="str">
        <x:f>IF(F21="","",IFERROR(VLOOKUP(F21,Employee_Master!$A$2:$N$31,4,FALSE),""))</x:f>
        <x:v>Estimating &amp; Planning</x:v>
      </x:c>
      <x:c r="I21" s="30" t="str">
        <x:f>IF(F21="","Shared / Office",IFERROR(VLOOKUP(F21,Employee_Master!$A$2:$N$31,6,FALSE),""))</x:f>
        <x:v>Pooraka Head Office</x:v>
      </x:c>
      <x:c r="J21" s="35" t="n">
        <x:v>45828</x:v>
      </x:c>
      <x:c r="K21" s="35" t="n">
        <x:v>46923</x:v>
      </x:c>
      <x:c r="L21" s="30" t="str">
        <x:v>Windows 11 Pro</x:v>
      </x:c>
      <x:c r="M21" s="30" t="str">
        <x:v>Active</x:v>
      </x:c>
      <x:c r="N21" s="30" t="str">
        <x:v>Enabled</x:v>
      </x:c>
      <x:c r="O21" s="30" t="str">
        <x:v>Healthy</x:v>
      </x:c>
      <x:c r="P21" s="30" t="str">
        <x:v>Overdue</x:v>
      </x:c>
      <x:c r="Q21" s="35" t="n">
        <x:v>46255</x:v>
      </x:c>
      <x:c r="R21" s="35" t="n">
        <x:v>46253</x:v>
      </x:c>
      <x:c r="S21" s="30" t="str">
        <x:f>IF(K21&lt;TODAY(),"Expired",IF(K21&lt;=TODAY()+90,"Expiring &lt;90d","Active"))</x:f>
        <x:v>Active</x:v>
      </x:c>
      <x:c r="T21" s="30" t="str">
        <x:f>IF(OR(N21="Not Enabled",O21="Attention",P21="Overdue"),"Attention","Compliant")</x:f>
        <x:v>Attention</x:v>
      </x:c>
      <x:c r="U21" s="30" t="str">
        <x:v>Primary employee device</x:v>
      </x:c>
    </x:row>
    <x:row r="22">
      <x:c r="A22" s="30" t="str">
        <x:v>UE-LT-020</x:v>
      </x:c>
      <x:c r="B22" s="30" t="str">
        <x:v>Laptop</x:v>
      </x:c>
      <x:c r="C22" s="30" t="str">
        <x:v>HP</x:v>
      </x:c>
      <x:c r="D22" s="30" t="str">
        <x:v>EliteBook 840 G10</x:v>
      </x:c>
      <x:c r="E22" s="30" t="str">
        <x:v>SNUE10020</x:v>
      </x:c>
      <x:c r="F22" s="30" t="str">
        <x:v>UE020</x:v>
      </x:c>
      <x:c r="G22" s="30" t="str">
        <x:f>IF(F22="","",IFERROR(VLOOKUP(F22,Employee_Master!$A$2:$N$31,2,FALSE),""))</x:f>
        <x:v>Demo Employee 20</x:v>
      </x:c>
      <x:c r="H22" s="30" t="str">
        <x:f>IF(F22="","",IFERROR(VLOOKUP(F22,Employee_Master!$A$2:$N$31,4,FALSE),""))</x:f>
        <x:v>Construction &amp; Project Management</x:v>
      </x:c>
      <x:c r="I22" s="30" t="str">
        <x:f>IF(F22="","Shared / Office",IFERROR(VLOOKUP(F22,Employee_Master!$A$2:$N$31,6,FALSE),""))</x:f>
        <x:v>Pooraka Head Office</x:v>
      </x:c>
      <x:c r="J22" s="35" t="n">
        <x:v>45857</x:v>
      </x:c>
      <x:c r="K22" s="35" t="n">
        <x:v>46952</x:v>
      </x:c>
      <x:c r="L22" s="30" t="str">
        <x:v>Windows 11 Pro</x:v>
      </x:c>
      <x:c r="M22" s="30" t="str">
        <x:v>Active</x:v>
      </x:c>
      <x:c r="N22" s="30" t="str">
        <x:v>Not Enabled</x:v>
      </x:c>
      <x:c r="O22" s="30" t="str">
        <x:v>Healthy</x:v>
      </x:c>
      <x:c r="P22" s="30" t="str">
        <x:v>Current</x:v>
      </x:c>
      <x:c r="Q22" s="35" t="n">
        <x:v>46252</x:v>
      </x:c>
      <x:c r="R22" s="35" t="n">
        <x:v>46251</x:v>
      </x:c>
      <x:c r="S22" s="30" t="str">
        <x:f>IF(K22&lt;TODAY(),"Expired",IF(K22&lt;=TODAY()+90,"Expiring &lt;90d","Active"))</x:f>
        <x:v>Active</x:v>
      </x:c>
      <x:c r="T22" s="30" t="str">
        <x:f>IF(OR(N22="Not Enabled",O22="Attention",P22="Overdue"),"Attention","Compliant")</x:f>
        <x:v>Attention</x:v>
      </x:c>
      <x:c r="U22" s="30" t="str">
        <x:v>Primary employee device</x:v>
      </x:c>
    </x:row>
    <x:row r="23">
      <x:c r="A23" s="30" t="str">
        <x:v>UE-LT-021</x:v>
      </x:c>
      <x:c r="B23" s="30" t="str">
        <x:v>Laptop</x:v>
      </x:c>
      <x:c r="C23" s="30" t="str">
        <x:v>Dell</x:v>
      </x:c>
      <x:c r="D23" s="30" t="str">
        <x:v>Latitude 5440</x:v>
      </x:c>
      <x:c r="E23" s="30" t="str">
        <x:v>SNUE10021</x:v>
      </x:c>
      <x:c r="F23" s="30" t="str">
        <x:v>UE021</x:v>
      </x:c>
      <x:c r="G23" s="30" t="str">
        <x:f>IF(F23="","",IFERROR(VLOOKUP(F23,Employee_Master!$A$2:$N$31,2,FALSE),""))</x:f>
        <x:v>Demo Employee 21</x:v>
      </x:c>
      <x:c r="H23" s="30" t="str">
        <x:f>IF(F23="","",IFERROR(VLOOKUP(F23,Employee_Master!$A$2:$N$31,4,FALSE),""))</x:f>
        <x:v>Construction &amp; Project Management</x:v>
      </x:c>
      <x:c r="I23" s="30" t="str">
        <x:f>IF(F23="","Shared / Office",IFERROR(VLOOKUP(F23,Employee_Master!$A$2:$N$31,6,FALSE),""))</x:f>
        <x:v>Prospect Project</x:v>
      </x:c>
      <x:c r="J23" s="35" t="n">
        <x:v>45886</x:v>
      </x:c>
      <x:c r="K23" s="35" t="n">
        <x:v>46981</x:v>
      </x:c>
      <x:c r="L23" s="30" t="str">
        <x:v>Windows 11 Pro</x:v>
      </x:c>
      <x:c r="M23" s="30" t="str">
        <x:v>Active</x:v>
      </x:c>
      <x:c r="N23" s="30" t="str">
        <x:v>Enabled</x:v>
      </x:c>
      <x:c r="O23" s="30" t="str">
        <x:v>Healthy</x:v>
      </x:c>
      <x:c r="P23" s="30" t="str">
        <x:v>Current</x:v>
      </x:c>
      <x:c r="Q23" s="35" t="n">
        <x:v>46249</x:v>
      </x:c>
      <x:c r="R23" s="35" t="n">
        <x:v>46249</x:v>
      </x:c>
      <x:c r="S23" s="30" t="str">
        <x:f>IF(K23&lt;TODAY(),"Expired",IF(K23&lt;=TODAY()+90,"Expiring &lt;90d","Active"))</x:f>
        <x:v>Active</x:v>
      </x:c>
      <x:c r="T23" s="30" t="str">
        <x:f>IF(OR(N23="Not Enabled",O23="Attention",P23="Overdue"),"Attention","Compliant")</x:f>
        <x:v>Compliant</x:v>
      </x:c>
      <x:c r="U23" s="30" t="str">
        <x:v>Primary employee device</x:v>
      </x:c>
    </x:row>
    <x:row r="24">
      <x:c r="A24" s="30" t="str">
        <x:v>UE-LT-022</x:v>
      </x:c>
      <x:c r="B24" s="30" t="str">
        <x:v>Laptop</x:v>
      </x:c>
      <x:c r="C24" s="30" t="str">
        <x:v>HP</x:v>
      </x:c>
      <x:c r="D24" s="30" t="str">
        <x:v>ProBook 440 G10</x:v>
      </x:c>
      <x:c r="E24" s="30" t="str">
        <x:v>SNUE10022</x:v>
      </x:c>
      <x:c r="F24" s="30" t="str">
        <x:v>UE022</x:v>
      </x:c>
      <x:c r="G24" s="30" t="str">
        <x:f>IF(F24="","",IFERROR(VLOOKUP(F24,Employee_Master!$A$2:$N$31,2,FALSE),""))</x:f>
        <x:v>Demo Employee 22</x:v>
      </x:c>
      <x:c r="H24" s="30" t="str">
        <x:f>IF(F24="","",IFERROR(VLOOKUP(F24,Employee_Master!$A$2:$N$31,4,FALSE),""))</x:f>
        <x:v>Construction &amp; Project Management</x:v>
      </x:c>
      <x:c r="I24" s="30" t="str">
        <x:f>IF(F24="","Shared / Office",IFERROR(VLOOKUP(F24,Employee_Master!$A$2:$N$31,6,FALSE),""))</x:f>
        <x:v>Para Hills Project</x:v>
      </x:c>
      <x:c r="J24" s="35" t="n">
        <x:v>45915</x:v>
      </x:c>
      <x:c r="K24" s="35" t="n">
        <x:v>47010</x:v>
      </x:c>
      <x:c r="L24" s="30" t="str">
        <x:v>Windows 11 Pro</x:v>
      </x:c>
      <x:c r="M24" s="30" t="str">
        <x:v>Active</x:v>
      </x:c>
      <x:c r="N24" s="30" t="str">
        <x:v>Enabled</x:v>
      </x:c>
      <x:c r="O24" s="30" t="str">
        <x:v>Healthy</x:v>
      </x:c>
      <x:c r="P24" s="30" t="str">
        <x:v>Current</x:v>
      </x:c>
      <x:c r="Q24" s="35" t="n">
        <x:v>46246</x:v>
      </x:c>
      <x:c r="R24" s="35" t="n">
        <x:v>46247</x:v>
      </x:c>
      <x:c r="S24" s="30" t="str">
        <x:f>IF(K24&lt;TODAY(),"Expired",IF(K24&lt;=TODAY()+90,"Expiring &lt;90d","Active"))</x:f>
        <x:v>Active</x:v>
      </x:c>
      <x:c r="T24" s="30" t="str">
        <x:f>IF(OR(N24="Not Enabled",O24="Attention",P24="Overdue"),"Attention","Compliant")</x:f>
        <x:v>Compliant</x:v>
      </x:c>
      <x:c r="U24" s="30" t="str">
        <x:v>Primary employee device</x:v>
      </x:c>
    </x:row>
    <x:row r="25">
      <x:c r="A25" s="30" t="str">
        <x:v>UE-LT-023</x:v>
      </x:c>
      <x:c r="B25" s="30" t="str">
        <x:v>Laptop</x:v>
      </x:c>
      <x:c r="C25" s="30" t="str">
        <x:v>Lenovo</x:v>
      </x:c>
      <x:c r="D25" s="30" t="str">
        <x:v>ThinkPad T14 Gen 4</x:v>
      </x:c>
      <x:c r="E25" s="30" t="str">
        <x:v>SNUE10023</x:v>
      </x:c>
      <x:c r="F25" s="30" t="str">
        <x:v>UE023</x:v>
      </x:c>
      <x:c r="G25" s="30" t="str">
        <x:f>IF(F25="","",IFERROR(VLOOKUP(F25,Employee_Master!$A$2:$N$31,2,FALSE),""))</x:f>
        <x:v>Demo Employee 23</x:v>
      </x:c>
      <x:c r="H25" s="30" t="str">
        <x:f>IF(F25="","",IFERROR(VLOOKUP(F25,Employee_Master!$A$2:$N$31,4,FALSE),""))</x:f>
        <x:v>Construction &amp; Project Management</x:v>
      </x:c>
      <x:c r="I25" s="30" t="str">
        <x:f>IF(F25="","Shared / Office",IFERROR(VLOOKUP(F25,Employee_Master!$A$2:$N$31,6,FALSE),""))</x:f>
        <x:v>Prospect Project</x:v>
      </x:c>
      <x:c r="J25" s="35" t="n">
        <x:v>45944</x:v>
      </x:c>
      <x:c r="K25" s="35" t="n">
        <x:v>47039</x:v>
      </x:c>
      <x:c r="L25" s="30" t="str">
        <x:v>Windows 11 Pro</x:v>
      </x:c>
      <x:c r="M25" s="30" t="str">
        <x:v>Active</x:v>
      </x:c>
      <x:c r="N25" s="30" t="str">
        <x:v>Enabled</x:v>
      </x:c>
      <x:c r="O25" s="30" t="str">
        <x:v>Healthy</x:v>
      </x:c>
      <x:c r="P25" s="30" t="str">
        <x:v>Current</x:v>
      </x:c>
      <x:c r="Q25" s="35" t="n">
        <x:v>46243</x:v>
      </x:c>
      <x:c r="R25" s="35" t="n">
        <x:v>46245</x:v>
      </x:c>
      <x:c r="S25" s="30" t="str">
        <x:f>IF(K25&lt;TODAY(),"Expired",IF(K25&lt;=TODAY()+90,"Expiring &lt;90d","Active"))</x:f>
        <x:v>Active</x:v>
      </x:c>
      <x:c r="T25" s="30" t="str">
        <x:f>IF(OR(N25="Not Enabled",O25="Attention",P25="Overdue"),"Attention","Compliant")</x:f>
        <x:v>Compliant</x:v>
      </x:c>
      <x:c r="U25" s="30" t="str">
        <x:v>Primary employee device</x:v>
      </x:c>
    </x:row>
    <x:row r="26">
      <x:c r="A26" s="30" t="str">
        <x:v>UE-LT-024</x:v>
      </x:c>
      <x:c r="B26" s="30" t="str">
        <x:v>Laptop</x:v>
      </x:c>
      <x:c r="C26" s="30" t="str">
        <x:v>Dell</x:v>
      </x:c>
      <x:c r="D26" s="30" t="str">
        <x:v>Latitude 7440</x:v>
      </x:c>
      <x:c r="E26" s="30" t="str">
        <x:v>SNUE10024</x:v>
      </x:c>
      <x:c r="F26" s="30" t="str">
        <x:v>UE024</x:v>
      </x:c>
      <x:c r="G26" s="30" t="str">
        <x:f>IF(F26="","",IFERROR(VLOOKUP(F26,Employee_Master!$A$2:$N$31,2,FALSE),""))</x:f>
        <x:v>Demo Employee 24</x:v>
      </x:c>
      <x:c r="H26" s="30" t="str">
        <x:f>IF(F26="","",IFERROR(VLOOKUP(F26,Employee_Master!$A$2:$N$31,4,FALSE),""))</x:f>
        <x:v>Construction &amp; Project Management</x:v>
      </x:c>
      <x:c r="I26" s="30" t="str">
        <x:f>IF(F26="","Shared / Office",IFERROR(VLOOKUP(F26,Employee_Master!$A$2:$N$31,6,FALSE),""))</x:f>
        <x:v>Para Hills Project</x:v>
      </x:c>
      <x:c r="J26" s="35" t="n">
        <x:v>45973</x:v>
      </x:c>
      <x:c r="K26" s="35" t="n">
        <x:v>47068</x:v>
      </x:c>
      <x:c r="L26" s="30" t="str">
        <x:v>Windows 11 Pro</x:v>
      </x:c>
      <x:c r="M26" s="30" t="str">
        <x:v>Active</x:v>
      </x:c>
      <x:c r="N26" s="30" t="str">
        <x:v>Enabled</x:v>
      </x:c>
      <x:c r="O26" s="30" t="str">
        <x:v>Healthy</x:v>
      </x:c>
      <x:c r="P26" s="30" t="str">
        <x:v>Current</x:v>
      </x:c>
      <x:c r="Q26" s="35" t="n">
        <x:v>46240</x:v>
      </x:c>
      <x:c r="R26" s="35" t="n">
        <x:v>46243</x:v>
      </x:c>
      <x:c r="S26" s="30" t="str">
        <x:f>IF(K26&lt;TODAY(),"Expired",IF(K26&lt;=TODAY()+90,"Expiring &lt;90d","Active"))</x:f>
        <x:v>Active</x:v>
      </x:c>
      <x:c r="T26" s="30" t="str">
        <x:f>IF(OR(N26="Not Enabled",O26="Attention",P26="Overdue"),"Attention","Compliant")</x:f>
        <x:v>Compliant</x:v>
      </x:c>
      <x:c r="U26" s="30" t="str">
        <x:v>Primary employee device</x:v>
      </x:c>
    </x:row>
    <x:row r="27">
      <x:c r="A27" s="30" t="str">
        <x:v>UE-LT-025</x:v>
      </x:c>
      <x:c r="B27" s="30" t="str">
        <x:v>Laptop</x:v>
      </x:c>
      <x:c r="C27" s="30" t="str">
        <x:v>HP</x:v>
      </x:c>
      <x:c r="D27" s="30" t="str">
        <x:v>EliteBook 840 G10</x:v>
      </x:c>
      <x:c r="E27" s="30" t="str">
        <x:v>SNUE10025</x:v>
      </x:c>
      <x:c r="F27" s="30" t="str">
        <x:v>UE025</x:v>
      </x:c>
      <x:c r="G27" s="30" t="str">
        <x:f>IF(F27="","",IFERROR(VLOOKUP(F27,Employee_Master!$A$2:$N$31,2,FALSE),""))</x:f>
        <x:v>Demo Employee 25</x:v>
      </x:c>
      <x:c r="H27" s="30" t="str">
        <x:f>IF(F27="","",IFERROR(VLOOKUP(F27,Employee_Master!$A$2:$N$31,4,FALSE),""))</x:f>
        <x:v>Construction &amp; Project Management</x:v>
      </x:c>
      <x:c r="I27" s="30" t="str">
        <x:f>IF(F27="","Shared / Office",IFERROR(VLOOKUP(F27,Employee_Master!$A$2:$N$31,6,FALSE),""))</x:f>
        <x:v>Morphett Vale Project</x:v>
      </x:c>
      <x:c r="J27" s="35" t="n">
        <x:v>45322</x:v>
      </x:c>
      <x:c r="K27" s="35" t="n">
        <x:v>46417</x:v>
      </x:c>
      <x:c r="L27" s="30" t="str">
        <x:v>Windows 11 Pro</x:v>
      </x:c>
      <x:c r="M27" s="30" t="str">
        <x:v>Active</x:v>
      </x:c>
      <x:c r="N27" s="30" t="str">
        <x:v>Enabled</x:v>
      </x:c>
      <x:c r="O27" s="30" t="str">
        <x:v>Attention</x:v>
      </x:c>
      <x:c r="P27" s="30" t="str">
        <x:v>Current</x:v>
      </x:c>
      <x:c r="Q27" s="35" t="n">
        <x:v>46237</x:v>
      </x:c>
      <x:c r="R27" s="35" t="n">
        <x:v>46241</x:v>
      </x:c>
      <x:c r="S27" s="30" t="str">
        <x:f>IF(K27&lt;TODAY(),"Expired",IF(K27&lt;=TODAY()+90,"Expiring &lt;90d","Active"))</x:f>
        <x:v>Active</x:v>
      </x:c>
      <x:c r="T27" s="30" t="str">
        <x:f>IF(OR(N27="Not Enabled",O27="Attention",P27="Overdue"),"Attention","Compliant")</x:f>
        <x:v>Attention</x:v>
      </x:c>
      <x:c r="U27" s="30" t="str">
        <x:v>Primary employee device</x:v>
      </x:c>
    </x:row>
    <x:row r="28">
      <x:c r="A28" s="30" t="str">
        <x:v>UE-LT-026</x:v>
      </x:c>
      <x:c r="B28" s="30" t="str">
        <x:v>Laptop</x:v>
      </x:c>
      <x:c r="C28" s="30" t="str">
        <x:v>Dell</x:v>
      </x:c>
      <x:c r="D28" s="30" t="str">
        <x:v>Latitude 5440</x:v>
      </x:c>
      <x:c r="E28" s="30" t="str">
        <x:v>SNUE10026</x:v>
      </x:c>
      <x:c r="F28" s="30" t="str">
        <x:v>UE026</x:v>
      </x:c>
      <x:c r="G28" s="30" t="str">
        <x:f>IF(F28="","",IFERROR(VLOOKUP(F28,Employee_Master!$A$2:$N$31,2,FALSE),""))</x:f>
        <x:v>Demo Employee 26</x:v>
      </x:c>
      <x:c r="H28" s="30" t="str">
        <x:f>IF(F28="","",IFERROR(VLOOKUP(F28,Employee_Master!$A$2:$N$31,4,FALSE),""))</x:f>
        <x:v>Construction &amp; Project Management</x:v>
      </x:c>
      <x:c r="I28" s="30" t="str">
        <x:f>IF(F28="","Shared / Office",IFERROR(VLOOKUP(F28,Employee_Master!$A$2:$N$31,6,FALSE),""))</x:f>
        <x:v>Remote / Mobile</x:v>
      </x:c>
      <x:c r="J28" s="35" t="n">
        <x:v>45351</x:v>
      </x:c>
      <x:c r="K28" s="35" t="n">
        <x:v>46446</x:v>
      </x:c>
      <x:c r="L28" s="30" t="str">
        <x:v>Windows 11 Pro</x:v>
      </x:c>
      <x:c r="M28" s="30" t="str">
        <x:v>Active</x:v>
      </x:c>
      <x:c r="N28" s="30" t="str">
        <x:v>Enabled</x:v>
      </x:c>
      <x:c r="O28" s="30" t="str">
        <x:v>Healthy</x:v>
      </x:c>
      <x:c r="P28" s="30" t="str">
        <x:v>Overdue</x:v>
      </x:c>
      <x:c r="Q28" s="35" t="n">
        <x:v>46259</x:v>
      </x:c>
      <x:c r="R28" s="35" t="n">
        <x:v>46239</x:v>
      </x:c>
      <x:c r="S28" s="30" t="str">
        <x:f>IF(K28&lt;TODAY(),"Expired",IF(K28&lt;=TODAY()+90,"Expiring &lt;90d","Active"))</x:f>
        <x:v>Active</x:v>
      </x:c>
      <x:c r="T28" s="30" t="str">
        <x:f>IF(OR(N28="Not Enabled",O28="Attention",P28="Overdue"),"Attention","Compliant")</x:f>
        <x:v>Attention</x:v>
      </x:c>
      <x:c r="U28" s="30" t="str">
        <x:v>Primary employee device</x:v>
      </x:c>
    </x:row>
    <x:row r="29">
      <x:c r="A29" s="30" t="str">
        <x:v>UE-LT-027</x:v>
      </x:c>
      <x:c r="B29" s="30" t="str">
        <x:v>Laptop</x:v>
      </x:c>
      <x:c r="C29" s="30" t="str">
        <x:v>HP</x:v>
      </x:c>
      <x:c r="D29" s="30" t="str">
        <x:v>ProBook 440 G10</x:v>
      </x:c>
      <x:c r="E29" s="30" t="str">
        <x:v>SNUE10027</x:v>
      </x:c>
      <x:c r="F29" s="30" t="str">
        <x:v>UE027</x:v>
      </x:c>
      <x:c r="G29" s="30" t="str">
        <x:f>IF(F29="","",IFERROR(VLOOKUP(F29,Employee_Master!$A$2:$N$31,2,FALSE),""))</x:f>
        <x:v>Demo Employee 27</x:v>
      </x:c>
      <x:c r="H29" s="30" t="str">
        <x:f>IF(F29="","",IFERROR(VLOOKUP(F29,Employee_Master!$A$2:$N$31,4,FALSE),""))</x:f>
        <x:v>Marketing</x:v>
      </x:c>
      <x:c r="I29" s="30" t="str">
        <x:f>IF(F29="","Shared / Office",IFERROR(VLOOKUP(F29,Employee_Master!$A$2:$N$31,6,FALSE),""))</x:f>
        <x:v>Pooraka Head Office</x:v>
      </x:c>
      <x:c r="J29" s="35" t="n">
        <x:v>45380</x:v>
      </x:c>
      <x:c r="K29" s="35" t="n">
        <x:v>46475</x:v>
      </x:c>
      <x:c r="L29" s="30" t="str">
        <x:v>Windows 11 Pro</x:v>
      </x:c>
      <x:c r="M29" s="30" t="str">
        <x:v>Active</x:v>
      </x:c>
      <x:c r="N29" s="30" t="str">
        <x:v>Enabled</x:v>
      </x:c>
      <x:c r="O29" s="30" t="str">
        <x:v>Healthy</x:v>
      </x:c>
      <x:c r="P29" s="30" t="str">
        <x:v>Current</x:v>
      </x:c>
      <x:c r="Q29" s="35" t="n">
        <x:v>46256</x:v>
      </x:c>
      <x:c r="R29" s="35" t="n">
        <x:v>46237</x:v>
      </x:c>
      <x:c r="S29" s="30" t="str">
        <x:f>IF(K29&lt;TODAY(),"Expired",IF(K29&lt;=TODAY()+90,"Expiring &lt;90d","Active"))</x:f>
        <x:v>Active</x:v>
      </x:c>
      <x:c r="T29" s="30" t="str">
        <x:f>IF(OR(N29="Not Enabled",O29="Attention",P29="Overdue"),"Attention","Compliant")</x:f>
        <x:v>Compliant</x:v>
      </x:c>
      <x:c r="U29" s="30" t="str">
        <x:v>Primary employee device</x:v>
      </x:c>
    </x:row>
    <x:row r="30">
      <x:c r="A30" s="30" t="str">
        <x:v>UE-LT-028</x:v>
      </x:c>
      <x:c r="B30" s="30" t="str">
        <x:v>Laptop</x:v>
      </x:c>
      <x:c r="C30" s="30" t="str">
        <x:v>Lenovo</x:v>
      </x:c>
      <x:c r="D30" s="30" t="str">
        <x:v>ThinkPad T14 Gen 4</x:v>
      </x:c>
      <x:c r="E30" s="30" t="str">
        <x:v>SNUE10028</x:v>
      </x:c>
      <x:c r="F30" s="30" t="str">
        <x:v>UE028</x:v>
      </x:c>
      <x:c r="G30" s="30" t="str">
        <x:f>IF(F30="","",IFERROR(VLOOKUP(F30,Employee_Master!$A$2:$N$31,2,FALSE),""))</x:f>
        <x:v>Demo Employee 28</x:v>
      </x:c>
      <x:c r="H30" s="30" t="str">
        <x:f>IF(F30="","",IFERROR(VLOOKUP(F30,Employee_Master!$A$2:$N$31,4,FALSE),""))</x:f>
        <x:v>Marketing</x:v>
      </x:c>
      <x:c r="I30" s="30" t="str">
        <x:f>IF(F30="","Shared / Office",IFERROR(VLOOKUP(F30,Employee_Master!$A$2:$N$31,6,FALSE),""))</x:f>
        <x:v>Pooraka Head Office</x:v>
      </x:c>
      <x:c r="J30" s="35" t="n">
        <x:v>45409</x:v>
      </x:c>
      <x:c r="K30" s="35" t="n">
        <x:v>46504</x:v>
      </x:c>
      <x:c r="L30" s="30" t="str">
        <x:v>Windows 11 Pro</x:v>
      </x:c>
      <x:c r="M30" s="30" t="str">
        <x:v>Active</x:v>
      </x:c>
      <x:c r="N30" s="30" t="str">
        <x:v>Not Enabled</x:v>
      </x:c>
      <x:c r="O30" s="30" t="str">
        <x:v>Healthy</x:v>
      </x:c>
      <x:c r="P30" s="30" t="str">
        <x:v>Current</x:v>
      </x:c>
      <x:c r="Q30" s="35" t="n">
        <x:v>46253</x:v>
      </x:c>
      <x:c r="R30" s="35" t="n">
        <x:v>46235</x:v>
      </x:c>
      <x:c r="S30" s="30" t="str">
        <x:f>IF(K30&lt;TODAY(),"Expired",IF(K30&lt;=TODAY()+90,"Expiring &lt;90d","Active"))</x:f>
        <x:v>Active</x:v>
      </x:c>
      <x:c r="T30" s="30" t="str">
        <x:f>IF(OR(N30="Not Enabled",O30="Attention",P30="Overdue"),"Attention","Compliant")</x:f>
        <x:v>Attention</x:v>
      </x:c>
      <x:c r="U30" s="30" t="str">
        <x:v>Primary employee device</x:v>
      </x:c>
    </x:row>
    <x:row r="31">
      <x:c r="A31" s="30" t="str">
        <x:v>UE-LT-029</x:v>
      </x:c>
      <x:c r="B31" s="30" t="str">
        <x:v>Laptop</x:v>
      </x:c>
      <x:c r="C31" s="30" t="str">
        <x:v>Dell</x:v>
      </x:c>
      <x:c r="D31" s="30" t="str">
        <x:v>Latitude 7440</x:v>
      </x:c>
      <x:c r="E31" s="30" t="str">
        <x:v>SNUE10029</x:v>
      </x:c>
      <x:c r="F31" s="30" t="str">
        <x:v>UE029</x:v>
      </x:c>
      <x:c r="G31" s="30" t="str">
        <x:f>IF(F31="","",IFERROR(VLOOKUP(F31,Employee_Master!$A$2:$N$31,2,FALSE),""))</x:f>
        <x:v>Demo Employee 29</x:v>
      </x:c>
      <x:c r="H31" s="30" t="str">
        <x:f>IF(F31="","",IFERROR(VLOOKUP(F31,Employee_Master!$A$2:$N$31,4,FALSE),""))</x:f>
        <x:v>IT &amp; Operations</x:v>
      </x:c>
      <x:c r="I31" s="30" t="str">
        <x:f>IF(F31="","Shared / Office",IFERROR(VLOOKUP(F31,Employee_Master!$A$2:$N$31,6,FALSE),""))</x:f>
        <x:v>Pooraka Head Office</x:v>
      </x:c>
      <x:c r="J31" s="35" t="n">
        <x:v>45438</x:v>
      </x:c>
      <x:c r="K31" s="35" t="n">
        <x:v>46533</x:v>
      </x:c>
      <x:c r="L31" s="30" t="str">
        <x:v>Windows 11 Pro</x:v>
      </x:c>
      <x:c r="M31" s="30" t="str">
        <x:v>Active</x:v>
      </x:c>
      <x:c r="N31" s="30" t="str">
        <x:v>Enabled</x:v>
      </x:c>
      <x:c r="O31" s="30" t="str">
        <x:v>Healthy</x:v>
      </x:c>
      <x:c r="P31" s="30" t="str">
        <x:v>Current</x:v>
      </x:c>
      <x:c r="Q31" s="35" t="n">
        <x:v>46250</x:v>
      </x:c>
      <x:c r="R31" s="35" t="n">
        <x:v>46233</x:v>
      </x:c>
      <x:c r="S31" s="30" t="str">
        <x:f>IF(K31&lt;TODAY(),"Expired",IF(K31&lt;=TODAY()+90,"Expiring &lt;90d","Active"))</x:f>
        <x:v>Active</x:v>
      </x:c>
      <x:c r="T31" s="30" t="str">
        <x:f>IF(OR(N31="Not Enabled",O31="Attention",P31="Overdue"),"Attention","Compliant")</x:f>
        <x:v>Compliant</x:v>
      </x:c>
      <x:c r="U31" s="30" t="str">
        <x:v>Primary employee device</x:v>
      </x:c>
    </x:row>
    <x:row r="32">
      <x:c r="A32" s="30" t="str">
        <x:v>UE-LT-030</x:v>
      </x:c>
      <x:c r="B32" s="30" t="str">
        <x:v>Laptop</x:v>
      </x:c>
      <x:c r="C32" s="30" t="str">
        <x:v>HP</x:v>
      </x:c>
      <x:c r="D32" s="30" t="str">
        <x:v>EliteBook 840 G10</x:v>
      </x:c>
      <x:c r="E32" s="30" t="str">
        <x:v>SNUE10030</x:v>
      </x:c>
      <x:c r="F32" s="30" t="str">
        <x:v>UE030</x:v>
      </x:c>
      <x:c r="G32" s="30" t="str">
        <x:f>IF(F32="","",IFERROR(VLOOKUP(F32,Employee_Master!$A$2:$N$31,2,FALSE),""))</x:f>
        <x:v>Demo Employee 30</x:v>
      </x:c>
      <x:c r="H32" s="30" t="str">
        <x:f>IF(F32="","",IFERROR(VLOOKUP(F32,Employee_Master!$A$2:$N$31,4,FALSE),""))</x:f>
        <x:v>IT &amp; Operations</x:v>
      </x:c>
      <x:c r="I32" s="30" t="str">
        <x:f>IF(F32="","Shared / Office",IFERROR(VLOOKUP(F32,Employee_Master!$A$2:$N$31,6,FALSE),""))</x:f>
        <x:v>Pooraka Head Office</x:v>
      </x:c>
      <x:c r="J32" s="35" t="n">
        <x:v>45467</x:v>
      </x:c>
      <x:c r="K32" s="35" t="n">
        <x:v>46562</x:v>
      </x:c>
      <x:c r="L32" s="30" t="str">
        <x:v>Windows 11 Pro</x:v>
      </x:c>
      <x:c r="M32" s="30" t="str">
        <x:v>Active</x:v>
      </x:c>
      <x:c r="N32" s="30" t="str">
        <x:v>Enabled</x:v>
      </x:c>
      <x:c r="O32" s="30" t="str">
        <x:v>Healthy</x:v>
      </x:c>
      <x:c r="P32" s="30" t="str">
        <x:v>Current</x:v>
      </x:c>
      <x:c r="Q32" s="35" t="n">
        <x:v>46247</x:v>
      </x:c>
      <x:c r="R32" s="35" t="n">
        <x:v>46231</x:v>
      </x:c>
      <x:c r="S32" s="30" t="str">
        <x:f>IF(K32&lt;TODAY(),"Expired",IF(K32&lt;=TODAY()+90,"Expiring &lt;90d","Active"))</x:f>
        <x:v>Active</x:v>
      </x:c>
      <x:c r="T32" s="30" t="str">
        <x:f>IF(OR(N32="Not Enabled",O32="Attention",P32="Overdue"),"Attention","Compliant")</x:f>
        <x:v>Compliant</x:v>
      </x:c>
      <x:c r="U32" s="30" t="str">
        <x:v>Primary employee device</x:v>
      </x:c>
    </x:row>
    <x:row r="33">
      <x:c r="A33" s="30" t="str">
        <x:v>UE-MB-001</x:v>
      </x:c>
      <x:c r="B33" s="30" t="str">
        <x:v>Mobile Phone</x:v>
      </x:c>
      <x:c r="C33" s="30" t="str">
        <x:v>Apple</x:v>
      </x:c>
      <x:c r="D33" s="30" t="str">
        <x:v>iPhone 15</x:v>
      </x:c>
      <x:c r="E33" s="30" t="str">
        <x:v>IMEI-DEMO-3001</x:v>
      </x:c>
      <x:c r="F33" s="30" t="str">
        <x:v>UE001</x:v>
      </x:c>
      <x:c r="G33" s="30" t="str">
        <x:f>IF(F33="","",IFERROR(VLOOKUP(F33,Employee_Master!$A$2:$N$31,2,FALSE),""))</x:f>
        <x:v>Demo Employee 01</x:v>
      </x:c>
      <x:c r="H33" s="30" t="str">
        <x:f>IF(F33="","",IFERROR(VLOOKUP(F33,Employee_Master!$A$2:$N$31,4,FALSE),""))</x:f>
        <x:v>Management</x:v>
      </x:c>
      <x:c r="I33" s="30" t="str">
        <x:f>IF(F33="","Shared / Office",IFERROR(VLOOKUP(F33,Employee_Master!$A$2:$N$31,6,FALSE),""))</x:f>
        <x:v>Pooraka Head Office</x:v>
      </x:c>
      <x:c r="J33" s="35" t="n">
        <x:v>45710</x:v>
      </x:c>
      <x:c r="K33" s="35" t="n">
        <x:v>46440</x:v>
      </x:c>
      <x:c r="L33" s="30" t="str">
        <x:v>iOS 19</x:v>
      </x:c>
      <x:c r="M33" s="30" t="str">
        <x:v>Active</x:v>
      </x:c>
      <x:c r="N33" s="30" t="str">
        <x:v>Enabled</x:v>
      </x:c>
      <x:c r="O33" s="30" t="str">
        <x:v>Healthy</x:v>
      </x:c>
      <x:c r="P33" s="30" t="str">
        <x:v>Current</x:v>
      </x:c>
      <x:c r="Q33" s="35" t="n">
        <x:v>46264</x:v>
      </x:c>
      <x:c r="R33" s="35" t="n">
        <x:v>46262</x:v>
      </x:c>
      <x:c r="S33" s="30" t="str">
        <x:f>IF(K33&lt;TODAY(),"Expired",IF(K33&lt;=TODAY()+90,"Expiring &lt;90d","Active"))</x:f>
        <x:v>Active</x:v>
      </x:c>
      <x:c r="T33" s="30" t="str">
        <x:f>IF(OR(N33="Not Enabled",O33="Attention",P33="Overdue"),"Attention","Compliant")</x:f>
        <x:v>Compliant</x:v>
      </x:c>
      <x:c r="U33" s="30" t="str">
        <x:v>Company mobile</x:v>
      </x:c>
    </x:row>
    <x:row r="34">
      <x:c r="A34" s="30" t="str">
        <x:v>UE-MB-002</x:v>
      </x:c>
      <x:c r="B34" s="30" t="str">
        <x:v>Mobile Phone</x:v>
      </x:c>
      <x:c r="C34" s="30" t="str">
        <x:v>Apple</x:v>
      </x:c>
      <x:c r="D34" s="30" t="str">
        <x:v>iPhone 15</x:v>
      </x:c>
      <x:c r="E34" s="30" t="str">
        <x:v>IMEI-DEMO-3002</x:v>
      </x:c>
      <x:c r="F34" s="30" t="str">
        <x:v>UE002</x:v>
      </x:c>
      <x:c r="G34" s="30" t="str">
        <x:f>IF(F34="","",IFERROR(VLOOKUP(F34,Employee_Master!$A$2:$N$31,2,FALSE),""))</x:f>
        <x:v>Demo Employee 02</x:v>
      </x:c>
      <x:c r="H34" s="30" t="str">
        <x:f>IF(F34="","",IFERROR(VLOOKUP(F34,Employee_Master!$A$2:$N$31,4,FALSE),""))</x:f>
        <x:v>Management</x:v>
      </x:c>
      <x:c r="I34" s="30" t="str">
        <x:f>IF(F34="","Shared / Office",IFERROR(VLOOKUP(F34,Employee_Master!$A$2:$N$31,6,FALSE),""))</x:f>
        <x:v>Pooraka Head Office</x:v>
      </x:c>
      <x:c r="J34" s="35" t="n">
        <x:v>45731</x:v>
      </x:c>
      <x:c r="K34" s="35" t="n">
        <x:v>46461</x:v>
      </x:c>
      <x:c r="L34" s="30" t="str">
        <x:v>iOS 19</x:v>
      </x:c>
      <x:c r="M34" s="30" t="str">
        <x:v>Active</x:v>
      </x:c>
      <x:c r="N34" s="30" t="str">
        <x:v>Enabled</x:v>
      </x:c>
      <x:c r="O34" s="30" t="str">
        <x:v>Healthy</x:v>
      </x:c>
      <x:c r="P34" s="30" t="str">
        <x:v>Current</x:v>
      </x:c>
      <x:c r="Q34" s="35" t="n">
        <x:v>46264</x:v>
      </x:c>
      <x:c r="R34" s="35" t="n">
        <x:v>46262</x:v>
      </x:c>
      <x:c r="S34" s="30" t="str">
        <x:f>IF(K34&lt;TODAY(),"Expired",IF(K34&lt;=TODAY()+90,"Expiring &lt;90d","Active"))</x:f>
        <x:v>Active</x:v>
      </x:c>
      <x:c r="T34" s="30" t="str">
        <x:f>IF(OR(N34="Not Enabled",O34="Attention",P34="Overdue"),"Attention","Compliant")</x:f>
        <x:v>Compliant</x:v>
      </x:c>
      <x:c r="U34" s="30" t="str">
        <x:v>Company mobile</x:v>
      </x:c>
    </x:row>
    <x:row r="35">
      <x:c r="A35" s="30" t="str">
        <x:v>UE-MB-003</x:v>
      </x:c>
      <x:c r="B35" s="30" t="str">
        <x:v>Mobile Phone</x:v>
      </x:c>
      <x:c r="C35" s="30" t="str">
        <x:v>Apple</x:v>
      </x:c>
      <x:c r="D35" s="30" t="str">
        <x:v>iPhone 15</x:v>
      </x:c>
      <x:c r="E35" s="30" t="str">
        <x:v>IMEI-DEMO-3003</x:v>
      </x:c>
      <x:c r="F35" s="30" t="str">
        <x:v>UE003</x:v>
      </x:c>
      <x:c r="G35" s="30" t="str">
        <x:f>IF(F35="","",IFERROR(VLOOKUP(F35,Employee_Master!$A$2:$N$31,2,FALSE),""))</x:f>
        <x:v>Demo Employee 03</x:v>
      </x:c>
      <x:c r="H35" s="30" t="str">
        <x:f>IF(F35="","",IFERROR(VLOOKUP(F35,Employee_Master!$A$2:$N$31,4,FALSE),""))</x:f>
        <x:v>Management</x:v>
      </x:c>
      <x:c r="I35" s="30" t="str">
        <x:f>IF(F35="","Shared / Office",IFERROR(VLOOKUP(F35,Employee_Master!$A$2:$N$31,6,FALSE),""))</x:f>
        <x:v>Pooraka Head Office</x:v>
      </x:c>
      <x:c r="J35" s="35" t="n">
        <x:v>45752</x:v>
      </x:c>
      <x:c r="K35" s="35" t="n">
        <x:v>46482</x:v>
      </x:c>
      <x:c r="L35" s="30" t="str">
        <x:v>iOS 19</x:v>
      </x:c>
      <x:c r="M35" s="30" t="str">
        <x:v>Active</x:v>
      </x:c>
      <x:c r="N35" s="30" t="str">
        <x:v>Enabled</x:v>
      </x:c>
      <x:c r="O35" s="30" t="str">
        <x:v>Healthy</x:v>
      </x:c>
      <x:c r="P35" s="30" t="str">
        <x:v>Current</x:v>
      </x:c>
      <x:c r="Q35" s="35" t="n">
        <x:v>46264</x:v>
      </x:c>
      <x:c r="R35" s="35" t="n">
        <x:v>46262</x:v>
      </x:c>
      <x:c r="S35" s="30" t="str">
        <x:f>IF(K35&lt;TODAY(),"Expired",IF(K35&lt;=TODAY()+90,"Expiring &lt;90d","Active"))</x:f>
        <x:v>Active</x:v>
      </x:c>
      <x:c r="T35" s="30" t="str">
        <x:f>IF(OR(N35="Not Enabled",O35="Attention",P35="Overdue"),"Attention","Compliant")</x:f>
        <x:v>Compliant</x:v>
      </x:c>
      <x:c r="U35" s="30" t="str">
        <x:v>Company mobile</x:v>
      </x:c>
    </x:row>
    <x:row r="36">
      <x:c r="A36" s="30" t="str">
        <x:v>UE-MB-004</x:v>
      </x:c>
      <x:c r="B36" s="30" t="str">
        <x:v>Mobile Phone</x:v>
      </x:c>
      <x:c r="C36" s="30" t="str">
        <x:v>Apple</x:v>
      </x:c>
      <x:c r="D36" s="30" t="str">
        <x:v>iPhone 15</x:v>
      </x:c>
      <x:c r="E36" s="30" t="str">
        <x:v>IMEI-DEMO-3004</x:v>
      </x:c>
      <x:c r="F36" s="30" t="str">
        <x:v>UE008</x:v>
      </x:c>
      <x:c r="G36" s="30" t="str">
        <x:f>IF(F36="","",IFERROR(VLOOKUP(F36,Employee_Master!$A$2:$N$31,2,FALSE),""))</x:f>
        <x:v>Demo Employee 08</x:v>
      </x:c>
      <x:c r="H36" s="30" t="str">
        <x:f>IF(F36="","",IFERROR(VLOOKUP(F36,Employee_Master!$A$2:$N$31,4,FALSE),""))</x:f>
        <x:v>Sales</x:v>
      </x:c>
      <x:c r="I36" s="30" t="str">
        <x:f>IF(F36="","Shared / Office",IFERROR(VLOOKUP(F36,Employee_Master!$A$2:$N$31,6,FALSE),""))</x:f>
        <x:v>Pooraka Head Office</x:v>
      </x:c>
      <x:c r="J36" s="35" t="n">
        <x:v>45773</x:v>
      </x:c>
      <x:c r="K36" s="35" t="n">
        <x:v>46503</x:v>
      </x:c>
      <x:c r="L36" s="30" t="str">
        <x:v>iOS 19</x:v>
      </x:c>
      <x:c r="M36" s="30" t="str">
        <x:v>Active</x:v>
      </x:c>
      <x:c r="N36" s="30" t="str">
        <x:v>Enabled</x:v>
      </x:c>
      <x:c r="O36" s="30" t="str">
        <x:v>Healthy</x:v>
      </x:c>
      <x:c r="P36" s="30" t="str">
        <x:v>Current</x:v>
      </x:c>
      <x:c r="Q36" s="35" t="n">
        <x:v>46264</x:v>
      </x:c>
      <x:c r="R36" s="35" t="n">
        <x:v>46262</x:v>
      </x:c>
      <x:c r="S36" s="30" t="str">
        <x:f>IF(K36&lt;TODAY(),"Expired",IF(K36&lt;=TODAY()+90,"Expiring &lt;90d","Active"))</x:f>
        <x:v>Active</x:v>
      </x:c>
      <x:c r="T36" s="30" t="str">
        <x:f>IF(OR(N36="Not Enabled",O36="Attention",P36="Overdue"),"Attention","Compliant")</x:f>
        <x:v>Compliant</x:v>
      </x:c>
      <x:c r="U36" s="30" t="str">
        <x:v>Company mobile</x:v>
      </x:c>
    </x:row>
    <x:row r="37">
      <x:c r="A37" s="30" t="str">
        <x:v>UE-MB-005</x:v>
      </x:c>
      <x:c r="B37" s="30" t="str">
        <x:v>Mobile Phone</x:v>
      </x:c>
      <x:c r="C37" s="30" t="str">
        <x:v>Apple</x:v>
      </x:c>
      <x:c r="D37" s="30" t="str">
        <x:v>iPhone 15</x:v>
      </x:c>
      <x:c r="E37" s="30" t="str">
        <x:v>IMEI-DEMO-3005</x:v>
      </x:c>
      <x:c r="F37" s="30" t="str">
        <x:v>UE009</x:v>
      </x:c>
      <x:c r="G37" s="30" t="str">
        <x:f>IF(F37="","",IFERROR(VLOOKUP(F37,Employee_Master!$A$2:$N$31,2,FALSE),""))</x:f>
        <x:v>Demo Employee 09</x:v>
      </x:c>
      <x:c r="H37" s="30" t="str">
        <x:f>IF(F37="","",IFERROR(VLOOKUP(F37,Employee_Master!$A$2:$N$31,4,FALSE),""))</x:f>
        <x:v>Sales</x:v>
      </x:c>
      <x:c r="I37" s="30" t="str">
        <x:f>IF(F37="","Shared / Office",IFERROR(VLOOKUP(F37,Employee_Master!$A$2:$N$31,6,FALSE),""))</x:f>
        <x:v>Pooraka Head Office</x:v>
      </x:c>
      <x:c r="J37" s="35" t="n">
        <x:v>45794</x:v>
      </x:c>
      <x:c r="K37" s="35" t="n">
        <x:v>46524</x:v>
      </x:c>
      <x:c r="L37" s="30" t="str">
        <x:v>iOS 19</x:v>
      </x:c>
      <x:c r="M37" s="30" t="str">
        <x:v>Active</x:v>
      </x:c>
      <x:c r="N37" s="30" t="str">
        <x:v>Enabled</x:v>
      </x:c>
      <x:c r="O37" s="30" t="str">
        <x:v>Healthy</x:v>
      </x:c>
      <x:c r="P37" s="30" t="str">
        <x:v>Current</x:v>
      </x:c>
      <x:c r="Q37" s="35" t="n">
        <x:v>46264</x:v>
      </x:c>
      <x:c r="R37" s="35" t="n">
        <x:v>46262</x:v>
      </x:c>
      <x:c r="S37" s="30" t="str">
        <x:f>IF(K37&lt;TODAY(),"Expired",IF(K37&lt;=TODAY()+90,"Expiring &lt;90d","Active"))</x:f>
        <x:v>Active</x:v>
      </x:c>
      <x:c r="T37" s="30" t="str">
        <x:f>IF(OR(N37="Not Enabled",O37="Attention",P37="Overdue"),"Attention","Compliant")</x:f>
        <x:v>Compliant</x:v>
      </x:c>
      <x:c r="U37" s="30" t="str">
        <x:v>Company mobile</x:v>
      </x:c>
    </x:row>
    <x:row r="38">
      <x:c r="A38" s="30" t="str">
        <x:v>UE-MB-006</x:v>
      </x:c>
      <x:c r="B38" s="30" t="str">
        <x:v>Mobile Phone</x:v>
      </x:c>
      <x:c r="C38" s="30" t="str">
        <x:v>Apple</x:v>
      </x:c>
      <x:c r="D38" s="30" t="str">
        <x:v>iPhone 15</x:v>
      </x:c>
      <x:c r="E38" s="30" t="str">
        <x:v>IMEI-DEMO-3006</x:v>
      </x:c>
      <x:c r="F38" s="30" t="str">
        <x:v>UE010</x:v>
      </x:c>
      <x:c r="G38" s="30" t="str">
        <x:f>IF(F38="","",IFERROR(VLOOKUP(F38,Employee_Master!$A$2:$N$31,2,FALSE),""))</x:f>
        <x:v>Demo Employee 10</x:v>
      </x:c>
      <x:c r="H38" s="30" t="str">
        <x:f>IF(F38="","",IFERROR(VLOOKUP(F38,Employee_Master!$A$2:$N$31,4,FALSE),""))</x:f>
        <x:v>Sales</x:v>
      </x:c>
      <x:c r="I38" s="30" t="str">
        <x:f>IF(F38="","Shared / Office",IFERROR(VLOOKUP(F38,Employee_Master!$A$2:$N$31,6,FALSE),""))</x:f>
        <x:v>Pooraka Head Office</x:v>
      </x:c>
      <x:c r="J38" s="35" t="n">
        <x:v>45815</x:v>
      </x:c>
      <x:c r="K38" s="35" t="n">
        <x:v>46545</x:v>
      </x:c>
      <x:c r="L38" s="30" t="str">
        <x:v>iOS 19</x:v>
      </x:c>
      <x:c r="M38" s="30" t="str">
        <x:v>Active</x:v>
      </x:c>
      <x:c r="N38" s="30" t="str">
        <x:v>Enabled</x:v>
      </x:c>
      <x:c r="O38" s="30" t="str">
        <x:v>Healthy</x:v>
      </x:c>
      <x:c r="P38" s="30" t="str">
        <x:v>Current</x:v>
      </x:c>
      <x:c r="Q38" s="35" t="n">
        <x:v>46264</x:v>
      </x:c>
      <x:c r="R38" s="35" t="n">
        <x:v>46262</x:v>
      </x:c>
      <x:c r="S38" s="30" t="str">
        <x:f>IF(K38&lt;TODAY(),"Expired",IF(K38&lt;=TODAY()+90,"Expiring &lt;90d","Active"))</x:f>
        <x:v>Active</x:v>
      </x:c>
      <x:c r="T38" s="30" t="str">
        <x:f>IF(OR(N38="Not Enabled",O38="Attention",P38="Overdue"),"Attention","Compliant")</x:f>
        <x:v>Compliant</x:v>
      </x:c>
      <x:c r="U38" s="30" t="str">
        <x:v>Company mobile</x:v>
      </x:c>
    </x:row>
    <x:row r="39">
      <x:c r="A39" s="30" t="str">
        <x:v>UE-MB-007</x:v>
      </x:c>
      <x:c r="B39" s="30" t="str">
        <x:v>Mobile Phone</x:v>
      </x:c>
      <x:c r="C39" s="30" t="str">
        <x:v>Apple</x:v>
      </x:c>
      <x:c r="D39" s="30" t="str">
        <x:v>iPhone 15</x:v>
      </x:c>
      <x:c r="E39" s="30" t="str">
        <x:v>IMEI-DEMO-3007</x:v>
      </x:c>
      <x:c r="F39" s="30" t="str">
        <x:v>UE011</x:v>
      </x:c>
      <x:c r="G39" s="30" t="str">
        <x:f>IF(F39="","",IFERROR(VLOOKUP(F39,Employee_Master!$A$2:$N$31,2,FALSE),""))</x:f>
        <x:v>Demo Employee 11</x:v>
      </x:c>
      <x:c r="H39" s="30" t="str">
        <x:f>IF(F39="","",IFERROR(VLOOKUP(F39,Employee_Master!$A$2:$N$31,4,FALSE),""))</x:f>
        <x:v>Sales</x:v>
      </x:c>
      <x:c r="I39" s="30" t="str">
        <x:f>IF(F39="","Shared / Office",IFERROR(VLOOKUP(F39,Employee_Master!$A$2:$N$31,6,FALSE),""))</x:f>
        <x:v>Pooraka Head Office</x:v>
      </x:c>
      <x:c r="J39" s="35" t="n">
        <x:v>45836</x:v>
      </x:c>
      <x:c r="K39" s="35" t="n">
        <x:v>46566</x:v>
      </x:c>
      <x:c r="L39" s="30" t="str">
        <x:v>iOS 19</x:v>
      </x:c>
      <x:c r="M39" s="30" t="str">
        <x:v>Active</x:v>
      </x:c>
      <x:c r="N39" s="30" t="str">
        <x:v>Enabled</x:v>
      </x:c>
      <x:c r="O39" s="30" t="str">
        <x:v>Healthy</x:v>
      </x:c>
      <x:c r="P39" s="30" t="str">
        <x:v>Current</x:v>
      </x:c>
      <x:c r="Q39" s="35" t="n">
        <x:v>46264</x:v>
      </x:c>
      <x:c r="R39" s="35" t="n">
        <x:v>46262</x:v>
      </x:c>
      <x:c r="S39" s="30" t="str">
        <x:f>IF(K39&lt;TODAY(),"Expired",IF(K39&lt;=TODAY()+90,"Expiring &lt;90d","Active"))</x:f>
        <x:v>Active</x:v>
      </x:c>
      <x:c r="T39" s="30" t="str">
        <x:f>IF(OR(N39="Not Enabled",O39="Attention",P39="Overdue"),"Attention","Compliant")</x:f>
        <x:v>Compliant</x:v>
      </x:c>
      <x:c r="U39" s="30" t="str">
        <x:v>Company mobile</x:v>
      </x:c>
    </x:row>
    <x:row r="40">
      <x:c r="A40" s="30" t="str">
        <x:v>UE-MB-008</x:v>
      </x:c>
      <x:c r="B40" s="30" t="str">
        <x:v>Mobile Phone</x:v>
      </x:c>
      <x:c r="C40" s="30" t="str">
        <x:v>Apple</x:v>
      </x:c>
      <x:c r="D40" s="30" t="str">
        <x:v>iPhone 15</x:v>
      </x:c>
      <x:c r="E40" s="30" t="str">
        <x:v>IMEI-DEMO-3008</x:v>
      </x:c>
      <x:c r="F40" s="30" t="str">
        <x:v>UE012</x:v>
      </x:c>
      <x:c r="G40" s="30" t="str">
        <x:f>IF(F40="","",IFERROR(VLOOKUP(F40,Employee_Master!$A$2:$N$31,2,FALSE),""))</x:f>
        <x:v>Demo Employee 12</x:v>
      </x:c>
      <x:c r="H40" s="30" t="str">
        <x:f>IF(F40="","",IFERROR(VLOOKUP(F40,Employee_Master!$A$2:$N$31,4,FALSE),""))</x:f>
        <x:v>Sales</x:v>
      </x:c>
      <x:c r="I40" s="30" t="str">
        <x:f>IF(F40="","Shared / Office",IFERROR(VLOOKUP(F40,Employee_Master!$A$2:$N$31,6,FALSE),""))</x:f>
        <x:v>Pooraka Head Office</x:v>
      </x:c>
      <x:c r="J40" s="35" t="n">
        <x:v>45857</x:v>
      </x:c>
      <x:c r="K40" s="35" t="n">
        <x:v>46587</x:v>
      </x:c>
      <x:c r="L40" s="30" t="str">
        <x:v>iOS 19</x:v>
      </x:c>
      <x:c r="M40" s="30" t="str">
        <x:v>Active</x:v>
      </x:c>
      <x:c r="N40" s="30" t="str">
        <x:v>Enabled</x:v>
      </x:c>
      <x:c r="O40" s="30" t="str">
        <x:v>Healthy</x:v>
      </x:c>
      <x:c r="P40" s="30" t="str">
        <x:v>Current</x:v>
      </x:c>
      <x:c r="Q40" s="35" t="n">
        <x:v>46264</x:v>
      </x:c>
      <x:c r="R40" s="35" t="n">
        <x:v>46262</x:v>
      </x:c>
      <x:c r="S40" s="30" t="str">
        <x:f>IF(K40&lt;TODAY(),"Expired",IF(K40&lt;=TODAY()+90,"Expiring &lt;90d","Active"))</x:f>
        <x:v>Active</x:v>
      </x:c>
      <x:c r="T40" s="30" t="str">
        <x:f>IF(OR(N40="Not Enabled",O40="Attention",P40="Overdue"),"Attention","Compliant")</x:f>
        <x:v>Compliant</x:v>
      </x:c>
      <x:c r="U40" s="30" t="str">
        <x:v>Company mobile</x:v>
      </x:c>
    </x:row>
    <x:row r="41">
      <x:c r="A41" s="30" t="str">
        <x:v>UE-MB-009</x:v>
      </x:c>
      <x:c r="B41" s="30" t="str">
        <x:v>Mobile Phone</x:v>
      </x:c>
      <x:c r="C41" s="30" t="str">
        <x:v>Apple</x:v>
      </x:c>
      <x:c r="D41" s="30" t="str">
        <x:v>iPhone 15</x:v>
      </x:c>
      <x:c r="E41" s="30" t="str">
        <x:v>IMEI-DEMO-3009</x:v>
      </x:c>
      <x:c r="F41" s="30" t="str">
        <x:v>UE020</x:v>
      </x:c>
      <x:c r="G41" s="30" t="str">
        <x:f>IF(F41="","",IFERROR(VLOOKUP(F41,Employee_Master!$A$2:$N$31,2,FALSE),""))</x:f>
        <x:v>Demo Employee 20</x:v>
      </x:c>
      <x:c r="H41" s="30" t="str">
        <x:f>IF(F41="","",IFERROR(VLOOKUP(F41,Employee_Master!$A$2:$N$31,4,FALSE),""))</x:f>
        <x:v>Construction &amp; Project Management</x:v>
      </x:c>
      <x:c r="I41" s="30" t="str">
        <x:f>IF(F41="","Shared / Office",IFERROR(VLOOKUP(F41,Employee_Master!$A$2:$N$31,6,FALSE),""))</x:f>
        <x:v>Pooraka Head Office</x:v>
      </x:c>
      <x:c r="J41" s="35" t="n">
        <x:v>45878</x:v>
      </x:c>
      <x:c r="K41" s="35" t="n">
        <x:v>46608</x:v>
      </x:c>
      <x:c r="L41" s="30" t="str">
        <x:v>iOS 19</x:v>
      </x:c>
      <x:c r="M41" s="30" t="str">
        <x:v>Active</x:v>
      </x:c>
      <x:c r="N41" s="30" t="str">
        <x:v>Enabled</x:v>
      </x:c>
      <x:c r="O41" s="30" t="str">
        <x:v>Healthy</x:v>
      </x:c>
      <x:c r="P41" s="30" t="str">
        <x:v>Current</x:v>
      </x:c>
      <x:c r="Q41" s="35" t="n">
        <x:v>46264</x:v>
      </x:c>
      <x:c r="R41" s="35" t="n">
        <x:v>46262</x:v>
      </x:c>
      <x:c r="S41" s="30" t="str">
        <x:f>IF(K41&lt;TODAY(),"Expired",IF(K41&lt;=TODAY()+90,"Expiring &lt;90d","Active"))</x:f>
        <x:v>Active</x:v>
      </x:c>
      <x:c r="T41" s="30" t="str">
        <x:f>IF(OR(N41="Not Enabled",O41="Attention",P41="Overdue"),"Attention","Compliant")</x:f>
        <x:v>Compliant</x:v>
      </x:c>
      <x:c r="U41" s="30" t="str">
        <x:v>Company mobile</x:v>
      </x:c>
    </x:row>
    <x:row r="42">
      <x:c r="A42" s="30" t="str">
        <x:v>UE-MB-010</x:v>
      </x:c>
      <x:c r="B42" s="30" t="str">
        <x:v>Mobile Phone</x:v>
      </x:c>
      <x:c r="C42" s="30" t="str">
        <x:v>Apple</x:v>
      </x:c>
      <x:c r="D42" s="30" t="str">
        <x:v>iPhone 15</x:v>
      </x:c>
      <x:c r="E42" s="30" t="str">
        <x:v>IMEI-DEMO-3010</x:v>
      </x:c>
      <x:c r="F42" s="30" t="str">
        <x:v>UE021</x:v>
      </x:c>
      <x:c r="G42" s="30" t="str">
        <x:f>IF(F42="","",IFERROR(VLOOKUP(F42,Employee_Master!$A$2:$N$31,2,FALSE),""))</x:f>
        <x:v>Demo Employee 21</x:v>
      </x:c>
      <x:c r="H42" s="30" t="str">
        <x:f>IF(F42="","",IFERROR(VLOOKUP(F42,Employee_Master!$A$2:$N$31,4,FALSE),""))</x:f>
        <x:v>Construction &amp; Project Management</x:v>
      </x:c>
      <x:c r="I42" s="30" t="str">
        <x:f>IF(F42="","Shared / Office",IFERROR(VLOOKUP(F42,Employee_Master!$A$2:$N$31,6,FALSE),""))</x:f>
        <x:v>Prospect Project</x:v>
      </x:c>
      <x:c r="J42" s="35" t="n">
        <x:v>45899</x:v>
      </x:c>
      <x:c r="K42" s="35" t="n">
        <x:v>46629</x:v>
      </x:c>
      <x:c r="L42" s="30" t="str">
        <x:v>iOS 19</x:v>
      </x:c>
      <x:c r="M42" s="30" t="str">
        <x:v>Active</x:v>
      </x:c>
      <x:c r="N42" s="30" t="str">
        <x:v>Enabled</x:v>
      </x:c>
      <x:c r="O42" s="30" t="str">
        <x:v>Healthy</x:v>
      </x:c>
      <x:c r="P42" s="30" t="str">
        <x:v>Current</x:v>
      </x:c>
      <x:c r="Q42" s="35" t="n">
        <x:v>46264</x:v>
      </x:c>
      <x:c r="R42" s="35" t="n">
        <x:v>46262</x:v>
      </x:c>
      <x:c r="S42" s="30" t="str">
        <x:f>IF(K42&lt;TODAY(),"Expired",IF(K42&lt;=TODAY()+90,"Expiring &lt;90d","Active"))</x:f>
        <x:v>Active</x:v>
      </x:c>
      <x:c r="T42" s="30" t="str">
        <x:f>IF(OR(N42="Not Enabled",O42="Attention",P42="Overdue"),"Attention","Compliant")</x:f>
        <x:v>Compliant</x:v>
      </x:c>
      <x:c r="U42" s="30" t="str">
        <x:v>Company mobile</x:v>
      </x:c>
    </x:row>
    <x:row r="43">
      <x:c r="A43" s="30" t="str">
        <x:v>UE-MB-011</x:v>
      </x:c>
      <x:c r="B43" s="30" t="str">
        <x:v>Mobile Phone</x:v>
      </x:c>
      <x:c r="C43" s="30" t="str">
        <x:v>Apple</x:v>
      </x:c>
      <x:c r="D43" s="30" t="str">
        <x:v>iPhone 15</x:v>
      </x:c>
      <x:c r="E43" s="30" t="str">
        <x:v>IMEI-DEMO-3011</x:v>
      </x:c>
      <x:c r="F43" s="30" t="str">
        <x:v>UE022</x:v>
      </x:c>
      <x:c r="G43" s="30" t="str">
        <x:f>IF(F43="","",IFERROR(VLOOKUP(F43,Employee_Master!$A$2:$N$31,2,FALSE),""))</x:f>
        <x:v>Demo Employee 22</x:v>
      </x:c>
      <x:c r="H43" s="30" t="str">
        <x:f>IF(F43="","",IFERROR(VLOOKUP(F43,Employee_Master!$A$2:$N$31,4,FALSE),""))</x:f>
        <x:v>Construction &amp; Project Management</x:v>
      </x:c>
      <x:c r="I43" s="30" t="str">
        <x:f>IF(F43="","Shared / Office",IFERROR(VLOOKUP(F43,Employee_Master!$A$2:$N$31,6,FALSE),""))</x:f>
        <x:v>Para Hills Project</x:v>
      </x:c>
      <x:c r="J43" s="35" t="n">
        <x:v>45920</x:v>
      </x:c>
      <x:c r="K43" s="35" t="n">
        <x:v>46650</x:v>
      </x:c>
      <x:c r="L43" s="30" t="str">
        <x:v>iOS 19</x:v>
      </x:c>
      <x:c r="M43" s="30" t="str">
        <x:v>Active</x:v>
      </x:c>
      <x:c r="N43" s="30" t="str">
        <x:v>Enabled</x:v>
      </x:c>
      <x:c r="O43" s="30" t="str">
        <x:v>Healthy</x:v>
      </x:c>
      <x:c r="P43" s="30" t="str">
        <x:v>Current</x:v>
      </x:c>
      <x:c r="Q43" s="35" t="n">
        <x:v>46264</x:v>
      </x:c>
      <x:c r="R43" s="35" t="n">
        <x:v>46262</x:v>
      </x:c>
      <x:c r="S43" s="30" t="str">
        <x:f>IF(K43&lt;TODAY(),"Expired",IF(K43&lt;=TODAY()+90,"Expiring &lt;90d","Active"))</x:f>
        <x:v>Active</x:v>
      </x:c>
      <x:c r="T43" s="30" t="str">
        <x:f>IF(OR(N43="Not Enabled",O43="Attention",P43="Overdue"),"Attention","Compliant")</x:f>
        <x:v>Compliant</x:v>
      </x:c>
      <x:c r="U43" s="30" t="str">
        <x:v>Company mobile</x:v>
      </x:c>
    </x:row>
    <x:row r="44">
      <x:c r="A44" s="30" t="str">
        <x:v>UE-MB-012</x:v>
      </x:c>
      <x:c r="B44" s="30" t="str">
        <x:v>Mobile Phone</x:v>
      </x:c>
      <x:c r="C44" s="30" t="str">
        <x:v>Apple</x:v>
      </x:c>
      <x:c r="D44" s="30" t="str">
        <x:v>iPhone 15</x:v>
      </x:c>
      <x:c r="E44" s="30" t="str">
        <x:v>IMEI-DEMO-3012</x:v>
      </x:c>
      <x:c r="F44" s="30" t="str">
        <x:v>UE023</x:v>
      </x:c>
      <x:c r="G44" s="30" t="str">
        <x:f>IF(F44="","",IFERROR(VLOOKUP(F44,Employee_Master!$A$2:$N$31,2,FALSE),""))</x:f>
        <x:v>Demo Employee 23</x:v>
      </x:c>
      <x:c r="H44" s="30" t="str">
        <x:f>IF(F44="","",IFERROR(VLOOKUP(F44,Employee_Master!$A$2:$N$31,4,FALSE),""))</x:f>
        <x:v>Construction &amp; Project Management</x:v>
      </x:c>
      <x:c r="I44" s="30" t="str">
        <x:f>IF(F44="","Shared / Office",IFERROR(VLOOKUP(F44,Employee_Master!$A$2:$N$31,6,FALSE),""))</x:f>
        <x:v>Prospect Project</x:v>
      </x:c>
      <x:c r="J44" s="35" t="n">
        <x:v>45941</x:v>
      </x:c>
      <x:c r="K44" s="35" t="n">
        <x:v>46671</x:v>
      </x:c>
      <x:c r="L44" s="30" t="str">
        <x:v>iOS 19</x:v>
      </x:c>
      <x:c r="M44" s="30" t="str">
        <x:v>Active</x:v>
      </x:c>
      <x:c r="N44" s="30" t="str">
        <x:v>Enabled</x:v>
      </x:c>
      <x:c r="O44" s="30" t="str">
        <x:v>Healthy</x:v>
      </x:c>
      <x:c r="P44" s="30" t="str">
        <x:v>Current</x:v>
      </x:c>
      <x:c r="Q44" s="35" t="n">
        <x:v>46264</x:v>
      </x:c>
      <x:c r="R44" s="35" t="n">
        <x:v>46262</x:v>
      </x:c>
      <x:c r="S44" s="30" t="str">
        <x:f>IF(K44&lt;TODAY(),"Expired",IF(K44&lt;=TODAY()+90,"Expiring &lt;90d","Active"))</x:f>
        <x:v>Active</x:v>
      </x:c>
      <x:c r="T44" s="30" t="str">
        <x:f>IF(OR(N44="Not Enabled",O44="Attention",P44="Overdue"),"Attention","Compliant")</x:f>
        <x:v>Compliant</x:v>
      </x:c>
      <x:c r="U44" s="30" t="str">
        <x:v>Company mobile</x:v>
      </x:c>
    </x:row>
    <x:row r="45">
      <x:c r="A45" s="30" t="str">
        <x:v>UE-PR-001</x:v>
      </x:c>
      <x:c r="B45" s="30" t="str">
        <x:v>Printer / Scanner</x:v>
      </x:c>
      <x:c r="C45" s="30" t="str">
        <x:v>HP</x:v>
      </x:c>
      <x:c r="D45" s="30" t="str">
        <x:v>LaserJet Enterprise MFP</x:v>
      </x:c>
      <x:c r="E45" s="30" t="str">
        <x:v>PRDEMO001</x:v>
      </x:c>
      <x:c r="F45" s="30" t="str"/>
      <x:c r="G45" s="30" t="str">
        <x:f>IF(F45="","",IFERROR(VLOOKUP(F45,Employee_Master!$A$2:$N$31,2,FALSE),""))</x:f>
      </x:c>
      <x:c r="H45" s="30" t="str">
        <x:f>IF(F45="","",IFERROR(VLOOKUP(F45,Employee_Master!$A$2:$N$31,4,FALSE),""))</x:f>
      </x:c>
      <x:c r="I45" s="30" t="str">
        <x:f>IF(F45="","Shared / Office",IFERROR(VLOOKUP(F45,Employee_Master!$A$2:$N$31,6,FALSE),""))</x:f>
        <x:v>Shared / Office</x:v>
      </x:c>
      <x:c r="J45" s="35" t="n">
        <x:v>45453</x:v>
      </x:c>
      <x:c r="K45" s="35" t="n">
        <x:v>46548</x:v>
      </x:c>
      <x:c r="L45" s="30" t="str">
        <x:v>Firmware 6.2</x:v>
      </x:c>
      <x:c r="M45" s="30" t="str">
        <x:v>Active</x:v>
      </x:c>
      <x:c r="N45" s="30" t="str">
        <x:v>N/A</x:v>
      </x:c>
      <x:c r="O45" s="30" t="str">
        <x:v>N/A</x:v>
      </x:c>
      <x:c r="P45" s="30" t="str">
        <x:v>Current</x:v>
      </x:c>
      <x:c r="Q45" s="35" t="n">
        <x:v>46249</x:v>
      </x:c>
      <x:c r="R45" s="35" t="n">
        <x:v>46254</x:v>
      </x:c>
      <x:c r="S45" s="30" t="str">
        <x:f>IF(K45&lt;TODAY(),"Expired",IF(K45&lt;=TODAY()+90,"Expiring &lt;90d","Active"))</x:f>
        <x:v>Active</x:v>
      </x:c>
      <x:c r="T45" s="30" t="str">
        <x:f>IF(OR(N45="Not Enabled",O45="Attention",P45="Overdue"),"Attention","Compliant")</x:f>
        <x:v>Compliant</x:v>
      </x:c>
      <x:c r="U45" s="30" t="str">
        <x:v>Pooraka shared printer</x:v>
      </x:c>
    </x:row>
    <x:row r="46">
      <x:c r="A46" s="30" t="str">
        <x:v>UE-PR-002</x:v>
      </x:c>
      <x:c r="B46" s="30" t="str">
        <x:v>Printer / Scanner</x:v>
      </x:c>
      <x:c r="C46" s="30" t="str">
        <x:v>Canon</x:v>
      </x:c>
      <x:c r="D46" s="30" t="str">
        <x:v>imageRUNNER ADVANCE</x:v>
      </x:c>
      <x:c r="E46" s="30" t="str">
        <x:v>PRDEMO002</x:v>
      </x:c>
      <x:c r="F46" s="30" t="str"/>
      <x:c r="G46" s="30" t="str">
        <x:f>IF(F46="","",IFERROR(VLOOKUP(F46,Employee_Master!$A$2:$N$31,2,FALSE),""))</x:f>
      </x:c>
      <x:c r="H46" s="30" t="str">
        <x:f>IF(F46="","",IFERROR(VLOOKUP(F46,Employee_Master!$A$2:$N$31,4,FALSE),""))</x:f>
      </x:c>
      <x:c r="I46" s="30" t="str">
        <x:f>IF(F46="","Shared / Office",IFERROR(VLOOKUP(F46,Employee_Master!$A$2:$N$31,6,FALSE),""))</x:f>
        <x:v>Shared / Office</x:v>
      </x:c>
      <x:c r="J46" s="35" t="n">
        <x:v>45540</x:v>
      </x:c>
      <x:c r="K46" s="35" t="n">
        <x:v>46635</x:v>
      </x:c>
      <x:c r="L46" s="30" t="str">
        <x:v>Firmware 4.8</x:v>
      </x:c>
      <x:c r="M46" s="30" t="str">
        <x:v>Active</x:v>
      </x:c>
      <x:c r="N46" s="30" t="str">
        <x:v>N/A</x:v>
      </x:c>
      <x:c r="O46" s="30" t="str">
        <x:v>N/A</x:v>
      </x:c>
      <x:c r="P46" s="30" t="str">
        <x:v>Current</x:v>
      </x:c>
      <x:c r="Q46" s="35" t="n">
        <x:v>46249</x:v>
      </x:c>
      <x:c r="R46" s="35" t="n">
        <x:v>46254</x:v>
      </x:c>
      <x:c r="S46" s="30" t="str">
        <x:f>IF(K46&lt;TODAY(),"Expired",IF(K46&lt;=TODAY()+90,"Expiring &lt;90d","Active"))</x:f>
        <x:v>Active</x:v>
      </x:c>
      <x:c r="T46" s="30" t="str">
        <x:f>IF(OR(N46="Not Enabled",O46="Attention",P46="Overdue"),"Attention","Compliant")</x:f>
        <x:v>Compliant</x:v>
      </x:c>
      <x:c r="U46" s="30" t="str">
        <x:v>Selections area printer</x:v>
      </x:c>
    </x:row>
    <x:row r="47">
      <x:c r="A47" s="30" t="str">
        <x:v>UE-NW-001</x:v>
      </x:c>
      <x:c r="B47" s="30" t="str">
        <x:v>Network Device</x:v>
      </x:c>
      <x:c r="C47" s="30" t="str">
        <x:v>Ubiquiti</x:v>
      </x:c>
      <x:c r="D47" s="30" t="str">
        <x:v>UniFi Dream Machine Pro</x:v>
      </x:c>
      <x:c r="E47" s="30" t="str">
        <x:v>NWDEMO001</x:v>
      </x:c>
      <x:c r="F47" s="30" t="str"/>
      <x:c r="G47" s="30" t="str">
        <x:f>IF(F47="","",IFERROR(VLOOKUP(F47,Employee_Master!$A$2:$N$31,2,FALSE),""))</x:f>
      </x:c>
      <x:c r="H47" s="30" t="str">
        <x:f>IF(F47="","",IFERROR(VLOOKUP(F47,Employee_Master!$A$2:$N$31,4,FALSE),""))</x:f>
      </x:c>
      <x:c r="I47" s="30" t="str">
        <x:f>IF(F47="","Shared / Office",IFERROR(VLOOKUP(F47,Employee_Master!$A$2:$N$31,6,FALSE),""))</x:f>
        <x:v>Shared / Office</x:v>
      </x:c>
      <x:c r="J47" s="35" t="n">
        <x:v>45394</x:v>
      </x:c>
      <x:c r="K47" s="35" t="n">
        <x:v>46489</x:v>
      </x:c>
      <x:c r="L47" s="30" t="str">
        <x:v>UniFi OS 4.x</x:v>
      </x:c>
      <x:c r="M47" s="30" t="str">
        <x:v>Active</x:v>
      </x:c>
      <x:c r="N47" s="30" t="str">
        <x:v>N/A</x:v>
      </x:c>
      <x:c r="O47" s="30" t="str">
        <x:v>Healthy</x:v>
      </x:c>
      <x:c r="P47" s="30" t="str">
        <x:v>Current</x:v>
      </x:c>
      <x:c r="Q47" s="35" t="n">
        <x:v>46256</x:v>
      </x:c>
      <x:c r="R47" s="35" t="n">
        <x:v>46256</x:v>
      </x:c>
      <x:c r="S47" s="30" t="str">
        <x:f>IF(K47&lt;TODAY(),"Expired",IF(K47&lt;=TODAY()+90,"Expiring &lt;90d","Active"))</x:f>
        <x:v>Active</x:v>
      </x:c>
      <x:c r="T47" s="30" t="str">
        <x:f>IF(OR(N47="Not Enabled",O47="Attention",P47="Overdue"),"Attention","Compliant")</x:f>
        <x:v>Compliant</x:v>
      </x:c>
      <x:c r="U47" s="30" t="str">
        <x:v>Demo core network appliance</x:v>
      </x:c>
    </x:row>
    <x:row r="48">
      <x:c r="A48" s="30" t="str">
        <x:v>UE-BK-001</x:v>
      </x:c>
      <x:c r="B48" s="30" t="str">
        <x:v>Backup Device</x:v>
      </x:c>
      <x:c r="C48" s="30" t="str">
        <x:v>Synology</x:v>
      </x:c>
      <x:c r="D48" s="30" t="str">
        <x:v>DiskStation DS923+</x:v>
      </x:c>
      <x:c r="E48" s="30" t="str">
        <x:v>BKDEMO001</x:v>
      </x:c>
      <x:c r="F48" s="30" t="str"/>
      <x:c r="G48" s="30" t="str">
        <x:f>IF(F48="","",IFERROR(VLOOKUP(F48,Employee_Master!$A$2:$N$31,2,FALSE),""))</x:f>
      </x:c>
      <x:c r="H48" s="30" t="str">
        <x:f>IF(F48="","",IFERROR(VLOOKUP(F48,Employee_Master!$A$2:$N$31,4,FALSE),""))</x:f>
      </x:c>
      <x:c r="I48" s="30" t="str">
        <x:f>IF(F48="","Shared / Office",IFERROR(VLOOKUP(F48,Employee_Master!$A$2:$N$31,6,FALSE),""))</x:f>
        <x:v>Shared / Office</x:v>
      </x:c>
      <x:c r="J48" s="35" t="n">
        <x:v>45371</x:v>
      </x:c>
      <x:c r="K48" s="35" t="n">
        <x:v>46466</x:v>
      </x:c>
      <x:c r="L48" s="30" t="str">
        <x:v>DSM 7.x</x:v>
      </x:c>
      <x:c r="M48" s="30" t="str">
        <x:v>Active</x:v>
      </x:c>
      <x:c r="N48" s="30" t="str">
        <x:v>Enabled</x:v>
      </x:c>
      <x:c r="O48" s="30" t="str">
        <x:v>Healthy</x:v>
      </x:c>
      <x:c r="P48" s="30" t="str">
        <x:v>Current</x:v>
      </x:c>
      <x:c r="Q48" s="35" t="n">
        <x:v>46255</x:v>
      </x:c>
      <x:c r="R48" s="35" t="n">
        <x:v>46255</x:v>
      </x:c>
      <x:c r="S48" s="30" t="str">
        <x:f>IF(K48&lt;TODAY(),"Expired",IF(K48&lt;=TODAY()+90,"Expiring &lt;90d","Active"))</x:f>
        <x:v>Active</x:v>
      </x:c>
      <x:c r="T48" s="30" t="str">
        <x:f>IF(OR(N48="Not Enabled",O48="Attention",P48="Overdue"),"Attention","Compliant")</x:f>
        <x:v>Compliant</x:v>
      </x:c>
      <x:c r="U48" s="30" t="str">
        <x:v>Demo local backup appliance</x:v>
      </x:c>
    </x:row>
  </x:sheetData>
  <x:mergeCells>
    <x:mergeCell ref="A1:U1"/>
  </x:mergeCells>
  <x:conditionalFormatting sqref="S3:S48">
    <x:cfRule type="expression" dxfId="10" priority="1">
      <x:formula>S3="Expired"</x:formula>
    </x:cfRule>
    <x:cfRule type="expression" dxfId="11" priority="2">
      <x:formula>S3="Expiring &lt;90d"</x:formula>
    </x:cfRule>
  </x:conditionalFormatting>
  <x:conditionalFormatting sqref="T3:T48">
    <x:cfRule type="expression" dxfId="12" priority="3">
      <x:formula>T3="Attention"</x:formula>
    </x:cfRule>
    <x:cfRule type="expression" dxfId="13" priority="4">
      <x:formula>T3="Compliant"</x:formula>
    </x:cfRule>
  </x:conditionalFormatting>
  <x:dataValidations count="4">
    <x:dataValidation type="list" sqref="M3:M48">
      <x:formula1>"Active,In Stock,Repair,Retired,Lost"</x:formula1>
    </x:dataValidation>
    <x:dataValidation type="list" sqref="N3:N48">
      <x:formula1>"Enabled,Not Enabled,N/A"</x:formula1>
    </x:dataValidation>
    <x:dataValidation type="list" sqref="O3:O48">
      <x:formula1>"Healthy,Attention,N/A"</x:formula1>
    </x:dataValidation>
    <x:dataValidation type="list" sqref="P3:P48">
      <x:formula1>"Current,Overdue,N/A"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cf5142ded940a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6" hidden="0" customWidth="1"/>
    <x:col min="5" max="5" width="28" hidden="0" customWidth="1"/>
    <x:col min="6" max="6" width="18" hidden="0" customWidth="1"/>
    <x:col min="7" max="7" width="28" hidden="0" customWidth="1"/>
    <x:col min="8" max="8" width="10.75" hidden="0" customWidth="1"/>
    <x:col min="9" max="9" width="11.25" hidden="0" customWidth="1"/>
    <x:col min="10" max="10" width="10.630000114440918" hidden="0" customWidth="1"/>
    <x:col min="11" max="11" width="11.75" hidden="0" customWidth="1"/>
    <x:col min="12" max="12" width="11.75" hidden="0" customWidth="1"/>
    <x:col min="13" max="13" width="9.630000114440918" hidden="0" customWidth="1"/>
    <x:col min="14" max="14" width="9.630000114440918" hidden="0" customWidth="1"/>
    <x:col min="15" max="15" width="17.3799991607666" hidden="0" customWidth="1"/>
    <x:col min="16" max="16" width="32" hidden="0" customWidth="1"/>
  </x:cols>
  <x:sheetData>
    <x:row r="1" ht="28" customHeight="1">
      <x:c r="A1" s="78" t="str">
        <x:v>Urban Edge SA — User &amp; System Access Register | Demonstration Project — Mock Data Only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  <x:c r="M1" s="78"/>
      <x:c r="N1" s="78"/>
      <x:c r="O1" s="78"/>
      <x:c r="P1" s="78"/>
    </x:row>
    <x:row r="2" ht="28" customHeight="1">
      <x:c r="A2" s="82" t="str">
        <x:v>Access_ID</x:v>
      </x:c>
      <x:c r="B2" s="82" t="str">
        <x:v>Employee_ID</x:v>
      </x:c>
      <x:c r="C2" s="82" t="str">
        <x:v>Employee_Name</x:v>
      </x:c>
      <x:c r="D2" s="82" t="str">
        <x:v>Department</x:v>
      </x:c>
      <x:c r="E2" s="82" t="str">
        <x:v>System_or_Resource</x:v>
      </x:c>
      <x:c r="F2" s="82" t="str">
        <x:v>Access_Level</x:v>
      </x:c>
      <x:c r="G2" s="82" t="str">
        <x:v>Business_Reason</x:v>
      </x:c>
      <x:c r="H2" s="82" t="str">
        <x:v>Approved_By</x:v>
      </x:c>
      <x:c r="I2" s="82" t="str">
        <x:v>Date_Granted</x:v>
      </x:c>
      <x:c r="J2" s="82" t="str">
        <x:v>Review_Date</x:v>
      </x:c>
      <x:c r="K2" s="82" t="str">
        <x:v>Review_Status</x:v>
      </x:c>
      <x:c r="L2" s="82" t="str">
        <x:v>MFA_Required</x:v>
      </x:c>
      <x:c r="M2" s="82" t="str">
        <x:v>MFA_Status</x:v>
      </x:c>
      <x:c r="N2" s="82" t="str">
        <x:v>Access_Risk</x:v>
      </x:c>
      <x:c r="O2" s="82" t="str">
        <x:v>Least_Privilege_Check</x:v>
      </x:c>
      <x:c r="P2" s="82" t="str">
        <x:v>Notes</x:v>
      </x:c>
    </x:row>
    <x:row r="3">
      <x:c r="A3" t="str">
        <x:v>ACC-001</x:v>
      </x:c>
      <x:c r="B3" t="str">
        <x:v>UE001</x:v>
      </x:c>
      <x:c r="C3" t="str">
        <x:f>IFERROR(VLOOKUP(B3,Employee_Master!$A$2:$N$31,2,FALSE),"")</x:f>
        <x:v>Demo Employee 01</x:v>
      </x:c>
      <x:c r="D3" t="str">
        <x:f>IFERROR(VLOOKUP(B3,Employee_Master!$A$2:$N$31,4,FALSE),"")</x:f>
        <x:v>Management</x:v>
      </x:c>
      <x:c r="E3" t="str">
        <x:v>Microsoft 365</x:v>
      </x:c>
      <x:c r="F3" t="str">
        <x:v>Standard User</x:v>
      </x:c>
      <x:c r="G3" t="str">
        <x:v>Core productivity</x:v>
      </x:c>
      <x:c r="H3" t="str">
        <x:v>UE003</x:v>
      </x:c>
      <x:c r="I3" s="2" t="n">
        <x:v>45680</x:v>
      </x:c>
      <x:c r="J3" s="2" t="n">
        <x:v>46386</x:v>
      </x:c>
      <x:c r="K3" t="str">
        <x:f>IF(J3&lt;TODAY(),"Overdue",IF(J3&lt;=TODAY()+30,"Due Soon","Current"))</x:f>
        <x:v>Current</x:v>
      </x:c>
      <x:c r="L3" t="str">
        <x:v>Yes</x:v>
      </x:c>
      <x:c r="M3" t="str">
        <x:f>IF(L3="No","N/A",IFERROR(VLOOKUP(B3,Employee_Master!$A$2:$N$31,11,FALSE),"Unknown"))</x:f>
        <x:v>Enabled</x:v>
      </x:c>
      <x:c r="N3" t="str">
        <x:v>Low</x:v>
      </x:c>
      <x:c r="O3" t="str">
        <x:v>OK</x:v>
      </x:c>
      <x:c r="P3" t="str"/>
    </x:row>
    <x:row r="4">
      <x:c r="A4" t="str">
        <x:v>ACC-002</x:v>
      </x:c>
      <x:c r="B4" t="str">
        <x:v>UE001</x:v>
      </x:c>
      <x:c r="C4" t="str">
        <x:f>IFERROR(VLOOKUP(B4,Employee_Master!$A$2:$N$31,2,FALSE),"")</x:f>
        <x:v>Demo Employee 01</x:v>
      </x:c>
      <x:c r="D4" t="str">
        <x:f>IFERROR(VLOOKUP(B4,Employee_Master!$A$2:$N$31,4,FALSE),"")</x:f>
        <x:v>Management</x:v>
      </x:c>
      <x:c r="E4" t="str">
        <x:v>SharePoint - General</x:v>
      </x:c>
      <x:c r="F4" t="str">
        <x:v>Member</x:v>
      </x:c>
      <x:c r="G4" t="str">
        <x:v>Company collaboration</x:v>
      </x:c>
      <x:c r="H4" t="str">
        <x:v>UE003</x:v>
      </x:c>
      <x:c r="I4" s="2" t="n">
        <x:v>45693</x:v>
      </x:c>
      <x:c r="J4" s="2" t="n">
        <x:v>46416</x:v>
      </x:c>
      <x:c r="K4" t="str">
        <x:f>IF(J4&lt;TODAY(),"Overdue",IF(J4&lt;=TODAY()+30,"Due Soon","Current"))</x:f>
        <x:v>Current</x:v>
      </x:c>
      <x:c r="L4" t="str">
        <x:v>Yes</x:v>
      </x:c>
      <x:c r="M4" t="str">
        <x:f>IF(L4="No","N/A",IFERROR(VLOOKUP(B4,Employee_Master!$A$2:$N$31,11,FALSE),"Unknown"))</x:f>
        <x:v>Enabled</x:v>
      </x:c>
      <x:c r="N4" t="str">
        <x:v>Low</x:v>
      </x:c>
      <x:c r="O4" t="str">
        <x:v>OK</x:v>
      </x:c>
      <x:c r="P4" t="str"/>
    </x:row>
    <x:row r="5">
      <x:c r="A5" t="str">
        <x:v>ACC-003</x:v>
      </x:c>
      <x:c r="B5" t="str">
        <x:v>UE001</x:v>
      </x:c>
      <x:c r="C5" t="str">
        <x:f>IFERROR(VLOOKUP(B5,Employee_Master!$A$2:$N$31,2,FALSE),"")</x:f>
        <x:v>Demo Employee 01</x:v>
      </x:c>
      <x:c r="D5" t="str">
        <x:f>IFERROR(VLOOKUP(B5,Employee_Master!$A$2:$N$31,4,FALSE),"")</x:f>
        <x:v>Management</x:v>
      </x:c>
      <x:c r="E5" t="str">
        <x:v>Management SharePoint</x:v>
      </x:c>
      <x:c r="F5" t="str">
        <x:v>Owner</x:v>
      </x:c>
      <x:c r="G5" t="str">
        <x:v>Executive management files</x:v>
      </x:c>
      <x:c r="H5" t="str">
        <x:v>UE001</x:v>
      </x:c>
      <x:c r="I5" s="2" t="n">
        <x:v>45706</x:v>
      </x:c>
      <x:c r="J5" s="2" t="n">
        <x:v>46446</x:v>
      </x:c>
      <x:c r="K5" t="str">
        <x:f>IF(J5&lt;TODAY(),"Overdue",IF(J5&lt;=TODAY()+30,"Due Soon","Current"))</x:f>
        <x:v>Current</x:v>
      </x:c>
      <x:c r="L5" t="str">
        <x:v>Yes</x:v>
      </x:c>
      <x:c r="M5" t="str">
        <x:f>IF(L5="No","N/A",IFERROR(VLOOKUP(B5,Employee_Master!$A$2:$N$31,11,FALSE),"Unknown"))</x:f>
        <x:v>Enabled</x:v>
      </x:c>
      <x:c r="N5" t="str">
        <x:v>High</x:v>
      </x:c>
      <x:c r="O5" t="str">
        <x:v>OK</x:v>
      </x:c>
      <x:c r="P5" t="str"/>
    </x:row>
    <x:row r="6">
      <x:c r="A6" t="str">
        <x:v>ACC-004</x:v>
      </x:c>
      <x:c r="B6" t="str">
        <x:v>UE001</x:v>
      </x:c>
      <x:c r="C6" t="str">
        <x:f>IFERROR(VLOOKUP(B6,Employee_Master!$A$2:$N$31,2,FALSE),"")</x:f>
        <x:v>Demo Employee 01</x:v>
      </x:c>
      <x:c r="D6" t="str">
        <x:f>IFERROR(VLOOKUP(B6,Employee_Master!$A$2:$N$31,4,FALSE),"")</x:f>
        <x:v>Management</x:v>
      </x:c>
      <x:c r="E6" t="str">
        <x:v>CRM</x:v>
      </x:c>
      <x:c r="F6" t="str">
        <x:v>Manager</x:v>
      </x:c>
      <x:c r="G6" t="str">
        <x:v>Business oversight</x:v>
      </x:c>
      <x:c r="H6" t="str">
        <x:v>UE002</x:v>
      </x:c>
      <x:c r="I6" s="2" t="n">
        <x:v>45719</x:v>
      </x:c>
      <x:c r="J6" s="2" t="n">
        <x:v>46356</x:v>
      </x:c>
      <x:c r="K6" t="str">
        <x:f>IF(J6&lt;TODAY(),"Overdue",IF(J6&lt;=TODAY()+30,"Due Soon","Current"))</x:f>
        <x:v>Current</x:v>
      </x:c>
      <x:c r="L6" t="str">
        <x:v>Yes</x:v>
      </x:c>
      <x:c r="M6" t="str">
        <x:f>IF(L6="No","N/A",IFERROR(VLOOKUP(B6,Employee_Master!$A$2:$N$31,11,FALSE),"Unknown"))</x:f>
        <x:v>Enabled</x:v>
      </x:c>
      <x:c r="N6" t="str">
        <x:v>Medium</x:v>
      </x:c>
      <x:c r="O6" t="str">
        <x:v>OK</x:v>
      </x:c>
      <x:c r="P6" t="str"/>
    </x:row>
    <x:row r="7">
      <x:c r="A7" t="str">
        <x:v>ACC-005</x:v>
      </x:c>
      <x:c r="B7" t="str">
        <x:v>UE002</x:v>
      </x:c>
      <x:c r="C7" t="str">
        <x:f>IFERROR(VLOOKUP(B7,Employee_Master!$A$2:$N$31,2,FALSE),"")</x:f>
        <x:v>Demo Employee 02</x:v>
      </x:c>
      <x:c r="D7" t="str">
        <x:f>IFERROR(VLOOKUP(B7,Employee_Master!$A$2:$N$31,4,FALSE),"")</x:f>
        <x:v>Management</x:v>
      </x:c>
      <x:c r="E7" t="str">
        <x:v>Microsoft 365</x:v>
      </x:c>
      <x:c r="F7" t="str">
        <x:v>Standard User</x:v>
      </x:c>
      <x:c r="G7" t="str">
        <x:v>Core productivity</x:v>
      </x:c>
      <x:c r="H7" t="str">
        <x:v>UE003</x:v>
      </x:c>
      <x:c r="I7" s="2" t="n">
        <x:v>45732</x:v>
      </x:c>
      <x:c r="J7" s="2" t="n">
        <x:v>46386</x:v>
      </x:c>
      <x:c r="K7" t="str">
        <x:f>IF(J7&lt;TODAY(),"Overdue",IF(J7&lt;=TODAY()+30,"Due Soon","Current"))</x:f>
        <x:v>Current</x:v>
      </x:c>
      <x:c r="L7" t="str">
        <x:v>Yes</x:v>
      </x:c>
      <x:c r="M7" t="str">
        <x:f>IF(L7="No","N/A",IFERROR(VLOOKUP(B7,Employee_Master!$A$2:$N$31,11,FALSE),"Unknown"))</x:f>
        <x:v>Enabled</x:v>
      </x:c>
      <x:c r="N7" t="str">
        <x:v>Low</x:v>
      </x:c>
      <x:c r="O7" t="str">
        <x:v>OK</x:v>
      </x:c>
      <x:c r="P7" t="str"/>
    </x:row>
    <x:row r="8">
      <x:c r="A8" t="str">
        <x:v>ACC-006</x:v>
      </x:c>
      <x:c r="B8" t="str">
        <x:v>UE002</x:v>
      </x:c>
      <x:c r="C8" t="str">
        <x:f>IFERROR(VLOOKUP(B8,Employee_Master!$A$2:$N$31,2,FALSE),"")</x:f>
        <x:v>Demo Employee 02</x:v>
      </x:c>
      <x:c r="D8" t="str">
        <x:f>IFERROR(VLOOKUP(B8,Employee_Master!$A$2:$N$31,4,FALSE),"")</x:f>
        <x:v>Management</x:v>
      </x:c>
      <x:c r="E8" t="str">
        <x:v>SharePoint - General</x:v>
      </x:c>
      <x:c r="F8" t="str">
        <x:v>Member</x:v>
      </x:c>
      <x:c r="G8" t="str">
        <x:v>Company collaboration</x:v>
      </x:c>
      <x:c r="H8" t="str">
        <x:v>UE003</x:v>
      </x:c>
      <x:c r="I8" s="2" t="n">
        <x:v>45745</x:v>
      </x:c>
      <x:c r="J8" s="2" t="n">
        <x:v>46416</x:v>
      </x:c>
      <x:c r="K8" t="str">
        <x:f>IF(J8&lt;TODAY(),"Overdue",IF(J8&lt;=TODAY()+30,"Due Soon","Current"))</x:f>
        <x:v>Current</x:v>
      </x:c>
      <x:c r="L8" t="str">
        <x:v>Yes</x:v>
      </x:c>
      <x:c r="M8" t="str">
        <x:f>IF(L8="No","N/A",IFERROR(VLOOKUP(B8,Employee_Master!$A$2:$N$31,11,FALSE),"Unknown"))</x:f>
        <x:v>Enabled</x:v>
      </x:c>
      <x:c r="N8" t="str">
        <x:v>Low</x:v>
      </x:c>
      <x:c r="O8" t="str">
        <x:v>OK</x:v>
      </x:c>
      <x:c r="P8" t="str"/>
    </x:row>
    <x:row r="9">
      <x:c r="A9" t="str">
        <x:v>ACC-007</x:v>
      </x:c>
      <x:c r="B9" t="str">
        <x:v>UE002</x:v>
      </x:c>
      <x:c r="C9" t="str">
        <x:f>IFERROR(VLOOKUP(B9,Employee_Master!$A$2:$N$31,2,FALSE),"")</x:f>
        <x:v>Demo Employee 02</x:v>
      </x:c>
      <x:c r="D9" t="str">
        <x:f>IFERROR(VLOOKUP(B9,Employee_Master!$A$2:$N$31,4,FALSE),"")</x:f>
        <x:v>Management</x:v>
      </x:c>
      <x:c r="E9" t="str">
        <x:v>Management SharePoint</x:v>
      </x:c>
      <x:c r="F9" t="str">
        <x:v>Owner</x:v>
      </x:c>
      <x:c r="G9" t="str">
        <x:v>Executive management files</x:v>
      </x:c>
      <x:c r="H9" t="str">
        <x:v>UE001</x:v>
      </x:c>
      <x:c r="I9" s="2" t="n">
        <x:v>45758</x:v>
      </x:c>
      <x:c r="J9" s="2" t="n">
        <x:v>46446</x:v>
      </x:c>
      <x:c r="K9" t="str">
        <x:f>IF(J9&lt;TODAY(),"Overdue",IF(J9&lt;=TODAY()+30,"Due Soon","Current"))</x:f>
        <x:v>Current</x:v>
      </x:c>
      <x:c r="L9" t="str">
        <x:v>Yes</x:v>
      </x:c>
      <x:c r="M9" t="str">
        <x:f>IF(L9="No","N/A",IFERROR(VLOOKUP(B9,Employee_Master!$A$2:$N$31,11,FALSE),"Unknown"))</x:f>
        <x:v>Enabled</x:v>
      </x:c>
      <x:c r="N9" t="str">
        <x:v>High</x:v>
      </x:c>
      <x:c r="O9" t="str">
        <x:v>OK</x:v>
      </x:c>
      <x:c r="P9" t="str"/>
    </x:row>
    <x:row r="10">
      <x:c r="A10" t="str">
        <x:v>ACC-008</x:v>
      </x:c>
      <x:c r="B10" t="str">
        <x:v>UE002</x:v>
      </x:c>
      <x:c r="C10" t="str">
        <x:f>IFERROR(VLOOKUP(B10,Employee_Master!$A$2:$N$31,2,FALSE),"")</x:f>
        <x:v>Demo Employee 02</x:v>
      </x:c>
      <x:c r="D10" t="str">
        <x:f>IFERROR(VLOOKUP(B10,Employee_Master!$A$2:$N$31,4,FALSE),"")</x:f>
        <x:v>Management</x:v>
      </x:c>
      <x:c r="E10" t="str">
        <x:v>CRM</x:v>
      </x:c>
      <x:c r="F10" t="str">
        <x:v>Manager</x:v>
      </x:c>
      <x:c r="G10" t="str">
        <x:v>Business oversight</x:v>
      </x:c>
      <x:c r="H10" t="str">
        <x:v>UE002</x:v>
      </x:c>
      <x:c r="I10" s="2" t="n">
        <x:v>45771</x:v>
      </x:c>
      <x:c r="J10" s="2" t="n">
        <x:v>46356</x:v>
      </x:c>
      <x:c r="K10" t="str">
        <x:f>IF(J10&lt;TODAY(),"Overdue",IF(J10&lt;=TODAY()+30,"Due Soon","Current"))</x:f>
        <x:v>Current</x:v>
      </x:c>
      <x:c r="L10" t="str">
        <x:v>Yes</x:v>
      </x:c>
      <x:c r="M10" t="str">
        <x:f>IF(L10="No","N/A",IFERROR(VLOOKUP(B10,Employee_Master!$A$2:$N$31,11,FALSE),"Unknown"))</x:f>
        <x:v>Enabled</x:v>
      </x:c>
      <x:c r="N10" t="str">
        <x:v>Medium</x:v>
      </x:c>
      <x:c r="O10" t="str">
        <x:v>OK</x:v>
      </x:c>
      <x:c r="P10" t="str"/>
    </x:row>
    <x:row r="11">
      <x:c r="A11" t="str">
        <x:v>ACC-009</x:v>
      </x:c>
      <x:c r="B11" t="str">
        <x:v>UE003</x:v>
      </x:c>
      <x:c r="C11" t="str">
        <x:f>IFERROR(VLOOKUP(B11,Employee_Master!$A$2:$N$31,2,FALSE),"")</x:f>
        <x:v>Demo Employee 03</x:v>
      </x:c>
      <x:c r="D11" t="str">
        <x:f>IFERROR(VLOOKUP(B11,Employee_Master!$A$2:$N$31,4,FALSE),"")</x:f>
        <x:v>Management</x:v>
      </x:c>
      <x:c r="E11" t="str">
        <x:v>Microsoft 365</x:v>
      </x:c>
      <x:c r="F11" t="str">
        <x:v>Standard User</x:v>
      </x:c>
      <x:c r="G11" t="str">
        <x:v>Core productivity</x:v>
      </x:c>
      <x:c r="H11" t="str">
        <x:v>UE003</x:v>
      </x:c>
      <x:c r="I11" s="2" t="n">
        <x:v>45784</x:v>
      </x:c>
      <x:c r="J11" s="2" t="n">
        <x:v>46386</x:v>
      </x:c>
      <x:c r="K11" t="str">
        <x:f>IF(J11&lt;TODAY(),"Overdue",IF(J11&lt;=TODAY()+30,"Due Soon","Current"))</x:f>
        <x:v>Current</x:v>
      </x:c>
      <x:c r="L11" t="str">
        <x:v>Yes</x:v>
      </x:c>
      <x:c r="M11" t="str">
        <x:f>IF(L11="No","N/A",IFERROR(VLOOKUP(B11,Employee_Master!$A$2:$N$31,11,FALSE),"Unknown"))</x:f>
        <x:v>Enabled</x:v>
      </x:c>
      <x:c r="N11" t="str">
        <x:v>Low</x:v>
      </x:c>
      <x:c r="O11" t="str">
        <x:v>OK</x:v>
      </x:c>
      <x:c r="P11" t="str"/>
    </x:row>
    <x:row r="12">
      <x:c r="A12" t="str">
        <x:v>ACC-010</x:v>
      </x:c>
      <x:c r="B12" t="str">
        <x:v>UE003</x:v>
      </x:c>
      <x:c r="C12" t="str">
        <x:f>IFERROR(VLOOKUP(B12,Employee_Master!$A$2:$N$31,2,FALSE),"")</x:f>
        <x:v>Demo Employee 03</x:v>
      </x:c>
      <x:c r="D12" t="str">
        <x:f>IFERROR(VLOOKUP(B12,Employee_Master!$A$2:$N$31,4,FALSE),"")</x:f>
        <x:v>Management</x:v>
      </x:c>
      <x:c r="E12" t="str">
        <x:v>SharePoint - General</x:v>
      </x:c>
      <x:c r="F12" t="str">
        <x:v>Member</x:v>
      </x:c>
      <x:c r="G12" t="str">
        <x:v>Company collaboration</x:v>
      </x:c>
      <x:c r="H12" t="str">
        <x:v>UE003</x:v>
      </x:c>
      <x:c r="I12" s="2" t="n">
        <x:v>45797</x:v>
      </x:c>
      <x:c r="J12" s="2" t="n">
        <x:v>46416</x:v>
      </x:c>
      <x:c r="K12" t="str">
        <x:f>IF(J12&lt;TODAY(),"Overdue",IF(J12&lt;=TODAY()+30,"Due Soon","Current"))</x:f>
        <x:v>Current</x:v>
      </x:c>
      <x:c r="L12" t="str">
        <x:v>Yes</x:v>
      </x:c>
      <x:c r="M12" t="str">
        <x:f>IF(L12="No","N/A",IFERROR(VLOOKUP(B12,Employee_Master!$A$2:$N$31,11,FALSE),"Unknown"))</x:f>
        <x:v>Enabled</x:v>
      </x:c>
      <x:c r="N12" t="str">
        <x:v>Low</x:v>
      </x:c>
      <x:c r="O12" t="str">
        <x:v>OK</x:v>
      </x:c>
      <x:c r="P12" t="str"/>
    </x:row>
    <x:row r="13">
      <x:c r="A13" t="str">
        <x:v>ACC-011</x:v>
      </x:c>
      <x:c r="B13" t="str">
        <x:v>UE003</x:v>
      </x:c>
      <x:c r="C13" t="str">
        <x:f>IFERROR(VLOOKUP(B13,Employee_Master!$A$2:$N$31,2,FALSE),"")</x:f>
        <x:v>Demo Employee 03</x:v>
      </x:c>
      <x:c r="D13" t="str">
        <x:f>IFERROR(VLOOKUP(B13,Employee_Master!$A$2:$N$31,4,FALSE),"")</x:f>
        <x:v>Management</x:v>
      </x:c>
      <x:c r="E13" t="str">
        <x:v>Management SharePoint</x:v>
      </x:c>
      <x:c r="F13" t="str">
        <x:v>Owner</x:v>
      </x:c>
      <x:c r="G13" t="str">
        <x:v>Executive management files</x:v>
      </x:c>
      <x:c r="H13" t="str">
        <x:v>UE001</x:v>
      </x:c>
      <x:c r="I13" s="2" t="n">
        <x:v>45810</x:v>
      </x:c>
      <x:c r="J13" s="2" t="n">
        <x:v>46254</x:v>
      </x:c>
      <x:c r="K13" t="str">
        <x:f>IF(J13&lt;TODAY(),"Overdue",IF(J13&lt;=TODAY()+30,"Due Soon","Current"))</x:f>
        <x:v>Overdue</x:v>
      </x:c>
      <x:c r="L13" t="str">
        <x:v>Yes</x:v>
      </x:c>
      <x:c r="M13" t="str">
        <x:f>IF(L13="No","N/A",IFERROR(VLOOKUP(B13,Employee_Master!$A$2:$N$31,11,FALSE),"Unknown"))</x:f>
        <x:v>Enabled</x:v>
      </x:c>
      <x:c r="N13" t="str">
        <x:v>High</x:v>
      </x:c>
      <x:c r="O13" t="str">
        <x:v>OK</x:v>
      </x:c>
      <x:c r="P13" t="str"/>
    </x:row>
    <x:row r="14">
      <x:c r="A14" t="str">
        <x:v>ACC-012</x:v>
      </x:c>
      <x:c r="B14" t="str">
        <x:v>UE003</x:v>
      </x:c>
      <x:c r="C14" t="str">
        <x:f>IFERROR(VLOOKUP(B14,Employee_Master!$A$2:$N$31,2,FALSE),"")</x:f>
        <x:v>Demo Employee 03</x:v>
      </x:c>
      <x:c r="D14" t="str">
        <x:f>IFERROR(VLOOKUP(B14,Employee_Master!$A$2:$N$31,4,FALSE),"")</x:f>
        <x:v>Management</x:v>
      </x:c>
      <x:c r="E14" t="str">
        <x:v>CRM</x:v>
      </x:c>
      <x:c r="F14" t="str">
        <x:v>Manager</x:v>
      </x:c>
      <x:c r="G14" t="str">
        <x:v>Business oversight</x:v>
      </x:c>
      <x:c r="H14" t="str">
        <x:v>UE002</x:v>
      </x:c>
      <x:c r="I14" s="2" t="n">
        <x:v>45823</x:v>
      </x:c>
      <x:c r="J14" s="2" t="n">
        <x:v>46356</x:v>
      </x:c>
      <x:c r="K14" t="str">
        <x:f>IF(J14&lt;TODAY(),"Overdue",IF(J14&lt;=TODAY()+30,"Due Soon","Current"))</x:f>
        <x:v>Current</x:v>
      </x:c>
      <x:c r="L14" t="str">
        <x:v>Yes</x:v>
      </x:c>
      <x:c r="M14" t="str">
        <x:f>IF(L14="No","N/A",IFERROR(VLOOKUP(B14,Employee_Master!$A$2:$N$31,11,FALSE),"Unknown"))</x:f>
        <x:v>Enabled</x:v>
      </x:c>
      <x:c r="N14" t="str">
        <x:v>Medium</x:v>
      </x:c>
      <x:c r="O14" t="str">
        <x:v>OK</x:v>
      </x:c>
      <x:c r="P14" t="str"/>
    </x:row>
    <x:row r="15">
      <x:c r="A15" t="str">
        <x:v>ACC-013</x:v>
      </x:c>
      <x:c r="B15" t="str">
        <x:v>UE004</x:v>
      </x:c>
      <x:c r="C15" t="str">
        <x:f>IFERROR(VLOOKUP(B15,Employee_Master!$A$2:$N$31,2,FALSE),"")</x:f>
        <x:v>Demo Employee 04</x:v>
      </x:c>
      <x:c r="D15" t="str">
        <x:f>IFERROR(VLOOKUP(B15,Employee_Master!$A$2:$N$31,4,FALSE),"")</x:f>
        <x:v>Administration</x:v>
      </x:c>
      <x:c r="E15" t="str">
        <x:v>Microsoft 365</x:v>
      </x:c>
      <x:c r="F15" t="str">
        <x:v>Standard User</x:v>
      </x:c>
      <x:c r="G15" t="str">
        <x:v>Core productivity</x:v>
      </x:c>
      <x:c r="H15" t="str">
        <x:v>UE003</x:v>
      </x:c>
      <x:c r="I15" s="2" t="n">
        <x:v>45836</x:v>
      </x:c>
      <x:c r="J15" s="2" t="n">
        <x:v>46386</x:v>
      </x:c>
      <x:c r="K15" t="str">
        <x:f>IF(J15&lt;TODAY(),"Overdue",IF(J15&lt;=TODAY()+30,"Due Soon","Current"))</x:f>
        <x:v>Current</x:v>
      </x:c>
      <x:c r="L15" t="str">
        <x:v>Yes</x:v>
      </x:c>
      <x:c r="M15" t="str">
        <x:f>IF(L15="No","N/A",IFERROR(VLOOKUP(B15,Employee_Master!$A$2:$N$31,11,FALSE),"Unknown"))</x:f>
        <x:v>Enabled</x:v>
      </x:c>
      <x:c r="N15" t="str">
        <x:v>Low</x:v>
      </x:c>
      <x:c r="O15" t="str">
        <x:v>OK</x:v>
      </x:c>
      <x:c r="P15" t="str"/>
    </x:row>
    <x:row r="16">
      <x:c r="A16" t="str">
        <x:v>ACC-014</x:v>
      </x:c>
      <x:c r="B16" t="str">
        <x:v>UE004</x:v>
      </x:c>
      <x:c r="C16" t="str">
        <x:f>IFERROR(VLOOKUP(B16,Employee_Master!$A$2:$N$31,2,FALSE),"")</x:f>
        <x:v>Demo Employee 04</x:v>
      </x:c>
      <x:c r="D16" t="str">
        <x:f>IFERROR(VLOOKUP(B16,Employee_Master!$A$2:$N$31,4,FALSE),"")</x:f>
        <x:v>Administration</x:v>
      </x:c>
      <x:c r="E16" t="str">
        <x:v>SharePoint - General</x:v>
      </x:c>
      <x:c r="F16" t="str">
        <x:v>Member</x:v>
      </x:c>
      <x:c r="G16" t="str">
        <x:v>Company collaboration</x:v>
      </x:c>
      <x:c r="H16" t="str">
        <x:v>UE003</x:v>
      </x:c>
      <x:c r="I16" s="2" t="n">
        <x:v>45849</x:v>
      </x:c>
      <x:c r="J16" s="2" t="n">
        <x:v>46416</x:v>
      </x:c>
      <x:c r="K16" t="str">
        <x:f>IF(J16&lt;TODAY(),"Overdue",IF(J16&lt;=TODAY()+30,"Due Soon","Current"))</x:f>
        <x:v>Current</x:v>
      </x:c>
      <x:c r="L16" t="str">
        <x:v>Yes</x:v>
      </x:c>
      <x:c r="M16" t="str">
        <x:f>IF(L16="No","N/A",IFERROR(VLOOKUP(B16,Employee_Master!$A$2:$N$31,11,FALSE),"Unknown"))</x:f>
        <x:v>Enabled</x:v>
      </x:c>
      <x:c r="N16" t="str">
        <x:v>Low</x:v>
      </x:c>
      <x:c r="O16" t="str">
        <x:v>OK</x:v>
      </x:c>
      <x:c r="P16" t="str"/>
    </x:row>
    <x:row r="17">
      <x:c r="A17" t="str">
        <x:v>ACC-015</x:v>
      </x:c>
      <x:c r="B17" t="str">
        <x:v>UE004</x:v>
      </x:c>
      <x:c r="C17" t="str">
        <x:f>IFERROR(VLOOKUP(B17,Employee_Master!$A$2:$N$31,2,FALSE),"")</x:f>
        <x:v>Demo Employee 04</x:v>
      </x:c>
      <x:c r="D17" t="str">
        <x:f>IFERROR(VLOOKUP(B17,Employee_Master!$A$2:$N$31,4,FALSE),"")</x:f>
        <x:v>Administration</x:v>
      </x:c>
      <x:c r="E17" t="str">
        <x:v>Contracts &amp; Administration SharePoint</x:v>
      </x:c>
      <x:c r="F17" t="str">
        <x:v>Member</x:v>
      </x:c>
      <x:c r="G17" t="str">
        <x:v>Administrative documents</x:v>
      </x:c>
      <x:c r="H17" t="str">
        <x:v>UE003</x:v>
      </x:c>
      <x:c r="I17" s="2" t="n">
        <x:v>45862</x:v>
      </x:c>
      <x:c r="J17" s="2" t="n">
        <x:v>46446</x:v>
      </x:c>
      <x:c r="K17" t="str">
        <x:f>IF(J17&lt;TODAY(),"Overdue",IF(J17&lt;=TODAY()+30,"Due Soon","Current"))</x:f>
        <x:v>Current</x:v>
      </x:c>
      <x:c r="L17" t="str">
        <x:v>Yes</x:v>
      </x:c>
      <x:c r="M17" t="str">
        <x:f>IF(L17="No","N/A",IFERROR(VLOOKUP(B17,Employee_Master!$A$2:$N$31,11,FALSE),"Unknown"))</x:f>
        <x:v>Enabled</x:v>
      </x:c>
      <x:c r="N17" t="str">
        <x:v>Medium</x:v>
      </x:c>
      <x:c r="O17" t="str">
        <x:v>OK</x:v>
      </x:c>
      <x:c r="P17" t="str"/>
    </x:row>
    <x:row r="18">
      <x:c r="A18" t="str">
        <x:v>ACC-016</x:v>
      </x:c>
      <x:c r="B18" t="str">
        <x:v>UE005</x:v>
      </x:c>
      <x:c r="C18" t="str">
        <x:f>IFERROR(VLOOKUP(B18,Employee_Master!$A$2:$N$31,2,FALSE),"")</x:f>
        <x:v>Demo Employee 05</x:v>
      </x:c>
      <x:c r="D18" t="str">
        <x:f>IFERROR(VLOOKUP(B18,Employee_Master!$A$2:$N$31,4,FALSE),"")</x:f>
        <x:v>Administration</x:v>
      </x:c>
      <x:c r="E18" t="str">
        <x:v>Microsoft 365</x:v>
      </x:c>
      <x:c r="F18" t="str">
        <x:v>Standard User</x:v>
      </x:c>
      <x:c r="G18" t="str">
        <x:v>Core productivity</x:v>
      </x:c>
      <x:c r="H18" t="str">
        <x:v>UE003</x:v>
      </x:c>
      <x:c r="I18" s="2" t="n">
        <x:v>45875</x:v>
      </x:c>
      <x:c r="J18" s="2" t="n">
        <x:v>46356</x:v>
      </x:c>
      <x:c r="K18" t="str">
        <x:f>IF(J18&lt;TODAY(),"Overdue",IF(J18&lt;=TODAY()+30,"Due Soon","Current"))</x:f>
        <x:v>Current</x:v>
      </x:c>
      <x:c r="L18" t="str">
        <x:v>Yes</x:v>
      </x:c>
      <x:c r="M18" t="str">
        <x:f>IF(L18="No","N/A",IFERROR(VLOOKUP(B18,Employee_Master!$A$2:$N$31,11,FALSE),"Unknown"))</x:f>
        <x:v>Enabled</x:v>
      </x:c>
      <x:c r="N18" t="str">
        <x:v>Low</x:v>
      </x:c>
      <x:c r="O18" t="str">
        <x:v>OK</x:v>
      </x:c>
      <x:c r="P18" t="str"/>
    </x:row>
    <x:row r="19">
      <x:c r="A19" t="str">
        <x:v>ACC-017</x:v>
      </x:c>
      <x:c r="B19" t="str">
        <x:v>UE005</x:v>
      </x:c>
      <x:c r="C19" t="str">
        <x:f>IFERROR(VLOOKUP(B19,Employee_Master!$A$2:$N$31,2,FALSE),"")</x:f>
        <x:v>Demo Employee 05</x:v>
      </x:c>
      <x:c r="D19" t="str">
        <x:f>IFERROR(VLOOKUP(B19,Employee_Master!$A$2:$N$31,4,FALSE),"")</x:f>
        <x:v>Administration</x:v>
      </x:c>
      <x:c r="E19" t="str">
        <x:v>SharePoint - General</x:v>
      </x:c>
      <x:c r="F19" t="str">
        <x:v>Member</x:v>
      </x:c>
      <x:c r="G19" t="str">
        <x:v>Company collaboration</x:v>
      </x:c>
      <x:c r="H19" t="str">
        <x:v>UE003</x:v>
      </x:c>
      <x:c r="I19" s="2" t="n">
        <x:v>45888</x:v>
      </x:c>
      <x:c r="J19" s="2" t="n">
        <x:v>46386</x:v>
      </x:c>
      <x:c r="K19" t="str">
        <x:f>IF(J19&lt;TODAY(),"Overdue",IF(J19&lt;=TODAY()+30,"Due Soon","Current"))</x:f>
        <x:v>Current</x:v>
      </x:c>
      <x:c r="L19" t="str">
        <x:v>Yes</x:v>
      </x:c>
      <x:c r="M19" t="str">
        <x:f>IF(L19="No","N/A",IFERROR(VLOOKUP(B19,Employee_Master!$A$2:$N$31,11,FALSE),"Unknown"))</x:f>
        <x:v>Enabled</x:v>
      </x:c>
      <x:c r="N19" t="str">
        <x:v>Low</x:v>
      </x:c>
      <x:c r="O19" t="str">
        <x:v>OK</x:v>
      </x:c>
      <x:c r="P19" t="str"/>
    </x:row>
    <x:row r="20">
      <x:c r="A20" t="str">
        <x:v>ACC-018</x:v>
      </x:c>
      <x:c r="B20" t="str">
        <x:v>UE005</x:v>
      </x:c>
      <x:c r="C20" t="str">
        <x:f>IFERROR(VLOOKUP(B20,Employee_Master!$A$2:$N$31,2,FALSE),"")</x:f>
        <x:v>Demo Employee 05</x:v>
      </x:c>
      <x:c r="D20" t="str">
        <x:f>IFERROR(VLOOKUP(B20,Employee_Master!$A$2:$N$31,4,FALSE),"")</x:f>
        <x:v>Administration</x:v>
      </x:c>
      <x:c r="E20" t="str">
        <x:v>Contracts &amp; Administration SharePoint</x:v>
      </x:c>
      <x:c r="F20" t="str">
        <x:v>Member</x:v>
      </x:c>
      <x:c r="G20" t="str">
        <x:v>Administrative documents</x:v>
      </x:c>
      <x:c r="H20" t="str">
        <x:v>UE003</x:v>
      </x:c>
      <x:c r="I20" s="2" t="n">
        <x:v>45901</x:v>
      </x:c>
      <x:c r="J20" s="2" t="n">
        <x:v>46416</x:v>
      </x:c>
      <x:c r="K20" t="str">
        <x:f>IF(J20&lt;TODAY(),"Overdue",IF(J20&lt;=TODAY()+30,"Due Soon","Current"))</x:f>
        <x:v>Current</x:v>
      </x:c>
      <x:c r="L20" t="str">
        <x:v>Yes</x:v>
      </x:c>
      <x:c r="M20" t="str">
        <x:f>IF(L20="No","N/A",IFERROR(VLOOKUP(B20,Employee_Master!$A$2:$N$31,11,FALSE),"Unknown"))</x:f>
        <x:v>Enabled</x:v>
      </x:c>
      <x:c r="N20" t="str">
        <x:v>Medium</x:v>
      </x:c>
      <x:c r="O20" t="str">
        <x:v>OK</x:v>
      </x:c>
      <x:c r="P20" t="str"/>
    </x:row>
    <x:row r="21">
      <x:c r="A21" t="str">
        <x:v>ACC-019</x:v>
      </x:c>
      <x:c r="B21" t="str">
        <x:v>UE006</x:v>
      </x:c>
      <x:c r="C21" t="str">
        <x:f>IFERROR(VLOOKUP(B21,Employee_Master!$A$2:$N$31,2,FALSE),"")</x:f>
        <x:v>Demo Employee 06</x:v>
      </x:c>
      <x:c r="D21" t="str">
        <x:f>IFERROR(VLOOKUP(B21,Employee_Master!$A$2:$N$31,4,FALSE),"")</x:f>
        <x:v>Administration</x:v>
      </x:c>
      <x:c r="E21" t="str">
        <x:v>Microsoft 365</x:v>
      </x:c>
      <x:c r="F21" t="str">
        <x:v>Standard User</x:v>
      </x:c>
      <x:c r="G21" t="str">
        <x:v>Core productivity</x:v>
      </x:c>
      <x:c r="H21" t="str">
        <x:v>UE003</x:v>
      </x:c>
      <x:c r="I21" s="2" t="n">
        <x:v>45914</x:v>
      </x:c>
      <x:c r="J21" s="2" t="n">
        <x:v>46285</x:v>
      </x:c>
      <x:c r="K21" t="str">
        <x:f>IF(J21&lt;TODAY(),"Overdue",IF(J21&lt;=TODAY()+30,"Due Soon","Current"))</x:f>
        <x:v>Due Soon</x:v>
      </x:c>
      <x:c r="L21" t="str">
        <x:v>Yes</x:v>
      </x:c>
      <x:c r="M21" t="str">
        <x:f>IF(L21="No","N/A",IFERROR(VLOOKUP(B21,Employee_Master!$A$2:$N$31,11,FALSE),"Unknown"))</x:f>
        <x:v>Enabled</x:v>
      </x:c>
      <x:c r="N21" t="str">
        <x:v>Low</x:v>
      </x:c>
      <x:c r="O21" t="str">
        <x:v>OK</x:v>
      </x:c>
      <x:c r="P21" t="str"/>
    </x:row>
    <x:row r="22">
      <x:c r="A22" t="str">
        <x:v>ACC-020</x:v>
      </x:c>
      <x:c r="B22" t="str">
        <x:v>UE006</x:v>
      </x:c>
      <x:c r="C22" t="str">
        <x:f>IFERROR(VLOOKUP(B22,Employee_Master!$A$2:$N$31,2,FALSE),"")</x:f>
        <x:v>Demo Employee 06</x:v>
      </x:c>
      <x:c r="D22" t="str">
        <x:f>IFERROR(VLOOKUP(B22,Employee_Master!$A$2:$N$31,4,FALSE),"")</x:f>
        <x:v>Administration</x:v>
      </x:c>
      <x:c r="E22" t="str">
        <x:v>SharePoint - General</x:v>
      </x:c>
      <x:c r="F22" t="str">
        <x:v>Member</x:v>
      </x:c>
      <x:c r="G22" t="str">
        <x:v>Company collaboration</x:v>
      </x:c>
      <x:c r="H22" t="str">
        <x:v>UE003</x:v>
      </x:c>
      <x:c r="I22" s="2" t="n">
        <x:v>45927</x:v>
      </x:c>
      <x:c r="J22" s="2" t="n">
        <x:v>46356</x:v>
      </x:c>
      <x:c r="K22" t="str">
        <x:f>IF(J22&lt;TODAY(),"Overdue",IF(J22&lt;=TODAY()+30,"Due Soon","Current"))</x:f>
        <x:v>Current</x:v>
      </x:c>
      <x:c r="L22" t="str">
        <x:v>Yes</x:v>
      </x:c>
      <x:c r="M22" t="str">
        <x:f>IF(L22="No","N/A",IFERROR(VLOOKUP(B22,Employee_Master!$A$2:$N$31,11,FALSE),"Unknown"))</x:f>
        <x:v>Enabled</x:v>
      </x:c>
      <x:c r="N22" t="str">
        <x:v>Low</x:v>
      </x:c>
      <x:c r="O22" t="str">
        <x:v>OK</x:v>
      </x:c>
      <x:c r="P22" t="str"/>
    </x:row>
    <x:row r="23">
      <x:c r="A23" t="str">
        <x:v>ACC-021</x:v>
      </x:c>
      <x:c r="B23" t="str">
        <x:v>UE006</x:v>
      </x:c>
      <x:c r="C23" t="str">
        <x:f>IFERROR(VLOOKUP(B23,Employee_Master!$A$2:$N$31,2,FALSE),"")</x:f>
        <x:v>Demo Employee 06</x:v>
      </x:c>
      <x:c r="D23" t="str">
        <x:f>IFERROR(VLOOKUP(B23,Employee_Master!$A$2:$N$31,4,FALSE),"")</x:f>
        <x:v>Administration</x:v>
      </x:c>
      <x:c r="E23" t="str">
        <x:v>Contracts &amp; Administration SharePoint</x:v>
      </x:c>
      <x:c r="F23" t="str">
        <x:v>Member</x:v>
      </x:c>
      <x:c r="G23" t="str">
        <x:v>Administrative documents</x:v>
      </x:c>
      <x:c r="H23" t="str">
        <x:v>UE003</x:v>
      </x:c>
      <x:c r="I23" s="2" t="n">
        <x:v>45940</x:v>
      </x:c>
      <x:c r="J23" s="2" t="n">
        <x:v>46386</x:v>
      </x:c>
      <x:c r="K23" t="str">
        <x:f>IF(J23&lt;TODAY(),"Overdue",IF(J23&lt;=TODAY()+30,"Due Soon","Current"))</x:f>
        <x:v>Current</x:v>
      </x:c>
      <x:c r="L23" t="str">
        <x:v>Yes</x:v>
      </x:c>
      <x:c r="M23" t="str">
        <x:f>IF(L23="No","N/A",IFERROR(VLOOKUP(B23,Employee_Master!$A$2:$N$31,11,FALSE),"Unknown"))</x:f>
        <x:v>Enabled</x:v>
      </x:c>
      <x:c r="N23" t="str">
        <x:v>Medium</x:v>
      </x:c>
      <x:c r="O23" t="str">
        <x:v>OK</x:v>
      </x:c>
      <x:c r="P23" t="str"/>
    </x:row>
    <x:row r="24">
      <x:c r="A24" t="str">
        <x:v>ACC-022</x:v>
      </x:c>
      <x:c r="B24" t="str">
        <x:v>UE007</x:v>
      </x:c>
      <x:c r="C24" t="str">
        <x:f>IFERROR(VLOOKUP(B24,Employee_Master!$A$2:$N$31,2,FALSE),"")</x:f>
        <x:v>Demo Employee 07</x:v>
      </x:c>
      <x:c r="D24" t="str">
        <x:f>IFERROR(VLOOKUP(B24,Employee_Master!$A$2:$N$31,4,FALSE),"")</x:f>
        <x:v>Administration</x:v>
      </x:c>
      <x:c r="E24" t="str">
        <x:v>Microsoft 365</x:v>
      </x:c>
      <x:c r="F24" t="str">
        <x:v>Standard User</x:v>
      </x:c>
      <x:c r="G24" t="str">
        <x:v>Core productivity</x:v>
      </x:c>
      <x:c r="H24" t="str">
        <x:v>UE003</x:v>
      </x:c>
      <x:c r="I24" s="2" t="n">
        <x:v>45953</x:v>
      </x:c>
      <x:c r="J24" s="2" t="n">
        <x:v>46416</x:v>
      </x:c>
      <x:c r="K24" t="str">
        <x:f>IF(J24&lt;TODAY(),"Overdue",IF(J24&lt;=TODAY()+30,"Due Soon","Current"))</x:f>
        <x:v>Current</x:v>
      </x:c>
      <x:c r="L24" t="str">
        <x:v>Yes</x:v>
      </x:c>
      <x:c r="M24" t="str">
        <x:f>IF(L24="No","N/A",IFERROR(VLOOKUP(B24,Employee_Master!$A$2:$N$31,11,FALSE),"Unknown"))</x:f>
        <x:v>Enabled</x:v>
      </x:c>
      <x:c r="N24" t="str">
        <x:v>Low</x:v>
      </x:c>
      <x:c r="O24" t="str">
        <x:v>OK</x:v>
      </x:c>
      <x:c r="P24" t="str"/>
    </x:row>
    <x:row r="25">
      <x:c r="A25" t="str">
        <x:v>ACC-023</x:v>
      </x:c>
      <x:c r="B25" t="str">
        <x:v>UE007</x:v>
      </x:c>
      <x:c r="C25" t="str">
        <x:f>IFERROR(VLOOKUP(B25,Employee_Master!$A$2:$N$31,2,FALSE),"")</x:f>
        <x:v>Demo Employee 07</x:v>
      </x:c>
      <x:c r="D25" t="str">
        <x:f>IFERROR(VLOOKUP(B25,Employee_Master!$A$2:$N$31,4,FALSE),"")</x:f>
        <x:v>Administration</x:v>
      </x:c>
      <x:c r="E25" t="str">
        <x:v>SharePoint - General</x:v>
      </x:c>
      <x:c r="F25" t="str">
        <x:v>Member</x:v>
      </x:c>
      <x:c r="G25" t="str">
        <x:v>Company collaboration</x:v>
      </x:c>
      <x:c r="H25" t="str">
        <x:v>UE003</x:v>
      </x:c>
      <x:c r="I25" s="2" t="n">
        <x:v>45966</x:v>
      </x:c>
      <x:c r="J25" s="2" t="n">
        <x:v>46446</x:v>
      </x:c>
      <x:c r="K25" t="str">
        <x:f>IF(J25&lt;TODAY(),"Overdue",IF(J25&lt;=TODAY()+30,"Due Soon","Current"))</x:f>
        <x:v>Current</x:v>
      </x:c>
      <x:c r="L25" t="str">
        <x:v>Yes</x:v>
      </x:c>
      <x:c r="M25" t="str">
        <x:f>IF(L25="No","N/A",IFERROR(VLOOKUP(B25,Employee_Master!$A$2:$N$31,11,FALSE),"Unknown"))</x:f>
        <x:v>Enabled</x:v>
      </x:c>
      <x:c r="N25" t="str">
        <x:v>Low</x:v>
      </x:c>
      <x:c r="O25" t="str">
        <x:v>OK</x:v>
      </x:c>
      <x:c r="P25" t="str"/>
    </x:row>
    <x:row r="26">
      <x:c r="A26" t="str">
        <x:v>ACC-024</x:v>
      </x:c>
      <x:c r="B26" t="str">
        <x:v>UE007</x:v>
      </x:c>
      <x:c r="C26" t="str">
        <x:f>IFERROR(VLOOKUP(B26,Employee_Master!$A$2:$N$31,2,FALSE),"")</x:f>
        <x:v>Demo Employee 07</x:v>
      </x:c>
      <x:c r="D26" t="str">
        <x:f>IFERROR(VLOOKUP(B26,Employee_Master!$A$2:$N$31,4,FALSE),"")</x:f>
        <x:v>Administration</x:v>
      </x:c>
      <x:c r="E26" t="str">
        <x:v>Contracts &amp; Administration SharePoint</x:v>
      </x:c>
      <x:c r="F26" t="str">
        <x:v>Member</x:v>
      </x:c>
      <x:c r="G26" t="str">
        <x:v>Administrative documents</x:v>
      </x:c>
      <x:c r="H26" t="str">
        <x:v>UE003</x:v>
      </x:c>
      <x:c r="I26" s="2" t="n">
        <x:v>45979</x:v>
      </x:c>
      <x:c r="J26" s="2" t="n">
        <x:v>46356</x:v>
      </x:c>
      <x:c r="K26" t="str">
        <x:f>IF(J26&lt;TODAY(),"Overdue",IF(J26&lt;=TODAY()+30,"Due Soon","Current"))</x:f>
        <x:v>Current</x:v>
      </x:c>
      <x:c r="L26" t="str">
        <x:v>Yes</x:v>
      </x:c>
      <x:c r="M26" t="str">
        <x:f>IF(L26="No","N/A",IFERROR(VLOOKUP(B26,Employee_Master!$A$2:$N$31,11,FALSE),"Unknown"))</x:f>
        <x:v>Enabled</x:v>
      </x:c>
      <x:c r="N26" t="str">
        <x:v>Medium</x:v>
      </x:c>
      <x:c r="O26" t="str">
        <x:v>OK</x:v>
      </x:c>
      <x:c r="P26" t="str"/>
    </x:row>
    <x:row r="27">
      <x:c r="A27" t="str">
        <x:v>ACC-025</x:v>
      </x:c>
      <x:c r="B27" t="str">
        <x:v>UE008</x:v>
      </x:c>
      <x:c r="C27" t="str">
        <x:f>IFERROR(VLOOKUP(B27,Employee_Master!$A$2:$N$31,2,FALSE),"")</x:f>
        <x:v>Demo Employee 08</x:v>
      </x:c>
      <x:c r="D27" t="str">
        <x:f>IFERROR(VLOOKUP(B27,Employee_Master!$A$2:$N$31,4,FALSE),"")</x:f>
        <x:v>Sales</x:v>
      </x:c>
      <x:c r="E27" t="str">
        <x:v>Microsoft 365</x:v>
      </x:c>
      <x:c r="F27" t="str">
        <x:v>Standard User</x:v>
      </x:c>
      <x:c r="G27" t="str">
        <x:v>Core productivity</x:v>
      </x:c>
      <x:c r="H27" t="str">
        <x:v>UE003</x:v>
      </x:c>
      <x:c r="I27" s="2" t="n">
        <x:v>45992</x:v>
      </x:c>
      <x:c r="J27" s="2" t="n">
        <x:v>46386</x:v>
      </x:c>
      <x:c r="K27" t="str">
        <x:f>IF(J27&lt;TODAY(),"Overdue",IF(J27&lt;=TODAY()+30,"Due Soon","Current"))</x:f>
        <x:v>Current</x:v>
      </x:c>
      <x:c r="L27" t="str">
        <x:v>Yes</x:v>
      </x:c>
      <x:c r="M27" t="str">
        <x:f>IF(L27="No","N/A",IFERROR(VLOOKUP(B27,Employee_Master!$A$2:$N$31,11,FALSE),"Unknown"))</x:f>
        <x:v>Enabled</x:v>
      </x:c>
      <x:c r="N27" t="str">
        <x:v>Low</x:v>
      </x:c>
      <x:c r="O27" t="str">
        <x:v>OK</x:v>
      </x:c>
      <x:c r="P27" t="str"/>
    </x:row>
    <x:row r="28">
      <x:c r="A28" t="str">
        <x:v>ACC-026</x:v>
      </x:c>
      <x:c r="B28" t="str">
        <x:v>UE008</x:v>
      </x:c>
      <x:c r="C28" t="str">
        <x:f>IFERROR(VLOOKUP(B28,Employee_Master!$A$2:$N$31,2,FALSE),"")</x:f>
        <x:v>Demo Employee 08</x:v>
      </x:c>
      <x:c r="D28" t="str">
        <x:f>IFERROR(VLOOKUP(B28,Employee_Master!$A$2:$N$31,4,FALSE),"")</x:f>
        <x:v>Sales</x:v>
      </x:c>
      <x:c r="E28" t="str">
        <x:v>SharePoint - General</x:v>
      </x:c>
      <x:c r="F28" t="str">
        <x:v>Member</x:v>
      </x:c>
      <x:c r="G28" t="str">
        <x:v>Company collaboration</x:v>
      </x:c>
      <x:c r="H28" t="str">
        <x:v>UE003</x:v>
      </x:c>
      <x:c r="I28" s="2" t="n">
        <x:v>46005</x:v>
      </x:c>
      <x:c r="J28" s="2" t="n">
        <x:v>46416</x:v>
      </x:c>
      <x:c r="K28" t="str">
        <x:f>IF(J28&lt;TODAY(),"Overdue",IF(J28&lt;=TODAY()+30,"Due Soon","Current"))</x:f>
        <x:v>Current</x:v>
      </x:c>
      <x:c r="L28" t="str">
        <x:v>Yes</x:v>
      </x:c>
      <x:c r="M28" t="str">
        <x:f>IF(L28="No","N/A",IFERROR(VLOOKUP(B28,Employee_Master!$A$2:$N$31,11,FALSE),"Unknown"))</x:f>
        <x:v>Enabled</x:v>
      </x:c>
      <x:c r="N28" t="str">
        <x:v>Low</x:v>
      </x:c>
      <x:c r="O28" t="str">
        <x:v>OK</x:v>
      </x:c>
      <x:c r="P28" t="str"/>
    </x:row>
    <x:row r="29">
      <x:c r="A29" t="str">
        <x:v>ACC-027</x:v>
      </x:c>
      <x:c r="B29" t="str">
        <x:v>UE008</x:v>
      </x:c>
      <x:c r="C29" t="str">
        <x:f>IFERROR(VLOOKUP(B29,Employee_Master!$A$2:$N$31,2,FALSE),"")</x:f>
        <x:v>Demo Employee 08</x:v>
      </x:c>
      <x:c r="D29" t="str">
        <x:f>IFERROR(VLOOKUP(B29,Employee_Master!$A$2:$N$31,4,FALSE),"")</x:f>
        <x:v>Sales</x:v>
      </x:c>
      <x:c r="E29" t="str">
        <x:v>CRM</x:v>
      </x:c>
      <x:c r="F29" t="str">
        <x:v>Sales User</x:v>
      </x:c>
      <x:c r="G29" t="str">
        <x:v>Customer and lead management</x:v>
      </x:c>
      <x:c r="H29" t="str">
        <x:v>UE008</x:v>
      </x:c>
      <x:c r="I29" s="2" t="n">
        <x:v>46018</x:v>
      </x:c>
      <x:c r="J29" s="2" t="n">
        <x:v>46446</x:v>
      </x:c>
      <x:c r="K29" t="str">
        <x:f>IF(J29&lt;TODAY(),"Overdue",IF(J29&lt;=TODAY()+30,"Due Soon","Current"))</x:f>
        <x:v>Current</x:v>
      </x:c>
      <x:c r="L29" t="str">
        <x:v>Yes</x:v>
      </x:c>
      <x:c r="M29" t="str">
        <x:f>IF(L29="No","N/A",IFERROR(VLOOKUP(B29,Employee_Master!$A$2:$N$31,11,FALSE),"Unknown"))</x:f>
        <x:v>Enabled</x:v>
      </x:c>
      <x:c r="N29" t="str">
        <x:v>Medium</x:v>
      </x:c>
      <x:c r="O29" t="str">
        <x:v>OK</x:v>
      </x:c>
      <x:c r="P29" t="str"/>
    </x:row>
    <x:row r="30">
      <x:c r="A30" t="str">
        <x:v>ACC-028</x:v>
      </x:c>
      <x:c r="B30" t="str">
        <x:v>UE009</x:v>
      </x:c>
      <x:c r="C30" t="str">
        <x:f>IFERROR(VLOOKUP(B30,Employee_Master!$A$2:$N$31,2,FALSE),"")</x:f>
        <x:v>Demo Employee 09</x:v>
      </x:c>
      <x:c r="D30" t="str">
        <x:f>IFERROR(VLOOKUP(B30,Employee_Master!$A$2:$N$31,4,FALSE),"")</x:f>
        <x:v>Sales</x:v>
      </x:c>
      <x:c r="E30" t="str">
        <x:v>Microsoft 365</x:v>
      </x:c>
      <x:c r="F30" t="str">
        <x:v>Standard User</x:v>
      </x:c>
      <x:c r="G30" t="str">
        <x:v>Core productivity</x:v>
      </x:c>
      <x:c r="H30" t="str">
        <x:v>UE003</x:v>
      </x:c>
      <x:c r="I30" s="2" t="n">
        <x:v>46031</x:v>
      </x:c>
      <x:c r="J30" s="2" t="n">
        <x:v>46254</x:v>
      </x:c>
      <x:c r="K30" t="str">
        <x:f>IF(J30&lt;TODAY(),"Overdue",IF(J30&lt;=TODAY()+30,"Due Soon","Current"))</x:f>
        <x:v>Overdue</x:v>
      </x:c>
      <x:c r="L30" t="str">
        <x:v>Yes</x:v>
      </x:c>
      <x:c r="M30" t="str">
        <x:f>IF(L30="No","N/A",IFERROR(VLOOKUP(B30,Employee_Master!$A$2:$N$31,11,FALSE),"Unknown"))</x:f>
        <x:v>Enabled</x:v>
      </x:c>
      <x:c r="N30" t="str">
        <x:v>Low</x:v>
      </x:c>
      <x:c r="O30" t="str">
        <x:v>Review</x:v>
      </x:c>
      <x:c r="P30" t="str">
        <x:v>Demo exception included for access-review analysis</x:v>
      </x:c>
    </x:row>
    <x:row r="31">
      <x:c r="A31" t="str">
        <x:v>ACC-029</x:v>
      </x:c>
      <x:c r="B31" t="str">
        <x:v>UE009</x:v>
      </x:c>
      <x:c r="C31" t="str">
        <x:f>IFERROR(VLOOKUP(B31,Employee_Master!$A$2:$N$31,2,FALSE),"")</x:f>
        <x:v>Demo Employee 09</x:v>
      </x:c>
      <x:c r="D31" t="str">
        <x:f>IFERROR(VLOOKUP(B31,Employee_Master!$A$2:$N$31,4,FALSE),"")</x:f>
        <x:v>Sales</x:v>
      </x:c>
      <x:c r="E31" t="str">
        <x:v>SharePoint - General</x:v>
      </x:c>
      <x:c r="F31" t="str">
        <x:v>Member</x:v>
      </x:c>
      <x:c r="G31" t="str">
        <x:v>Company collaboration</x:v>
      </x:c>
      <x:c r="H31" t="str">
        <x:v>UE003</x:v>
      </x:c>
      <x:c r="I31" s="2" t="n">
        <x:v>46044</x:v>
      </x:c>
      <x:c r="J31" s="2" t="n">
        <x:v>46386</x:v>
      </x:c>
      <x:c r="K31" t="str">
        <x:f>IF(J31&lt;TODAY(),"Overdue",IF(J31&lt;=TODAY()+30,"Due Soon","Current"))</x:f>
        <x:v>Current</x:v>
      </x:c>
      <x:c r="L31" t="str">
        <x:v>Yes</x:v>
      </x:c>
      <x:c r="M31" t="str">
        <x:f>IF(L31="No","N/A",IFERROR(VLOOKUP(B31,Employee_Master!$A$2:$N$31,11,FALSE),"Unknown"))</x:f>
        <x:v>Enabled</x:v>
      </x:c>
      <x:c r="N31" t="str">
        <x:v>Low</x:v>
      </x:c>
      <x:c r="O31" t="str">
        <x:v>OK</x:v>
      </x:c>
      <x:c r="P31" t="str"/>
    </x:row>
    <x:row r="32">
      <x:c r="A32" t="str">
        <x:v>ACC-030</x:v>
      </x:c>
      <x:c r="B32" t="str">
        <x:v>UE009</x:v>
      </x:c>
      <x:c r="C32" t="str">
        <x:f>IFERROR(VLOOKUP(B32,Employee_Master!$A$2:$N$31,2,FALSE),"")</x:f>
        <x:v>Demo Employee 09</x:v>
      </x:c>
      <x:c r="D32" t="str">
        <x:f>IFERROR(VLOOKUP(B32,Employee_Master!$A$2:$N$31,4,FALSE),"")</x:f>
        <x:v>Sales</x:v>
      </x:c>
      <x:c r="E32" t="str">
        <x:v>CRM</x:v>
      </x:c>
      <x:c r="F32" t="str">
        <x:v>Sales User</x:v>
      </x:c>
      <x:c r="G32" t="str">
        <x:v>Customer and lead management</x:v>
      </x:c>
      <x:c r="H32" t="str">
        <x:v>UE008</x:v>
      </x:c>
      <x:c r="I32" s="2" t="n">
        <x:v>46057</x:v>
      </x:c>
      <x:c r="J32" s="2" t="n">
        <x:v>46416</x:v>
      </x:c>
      <x:c r="K32" t="str">
        <x:f>IF(J32&lt;TODAY(),"Overdue",IF(J32&lt;=TODAY()+30,"Due Soon","Current"))</x:f>
        <x:v>Current</x:v>
      </x:c>
      <x:c r="L32" t="str">
        <x:v>Yes</x:v>
      </x:c>
      <x:c r="M32" t="str">
        <x:f>IF(L32="No","N/A",IFERROR(VLOOKUP(B32,Employee_Master!$A$2:$N$31,11,FALSE),"Unknown"))</x:f>
        <x:v>Enabled</x:v>
      </x:c>
      <x:c r="N32" t="str">
        <x:v>Medium</x:v>
      </x:c>
      <x:c r="O32" t="str">
        <x:v>OK</x:v>
      </x:c>
      <x:c r="P32" t="str"/>
    </x:row>
    <x:row r="33">
      <x:c r="A33" t="str">
        <x:v>ACC-031</x:v>
      </x:c>
      <x:c r="B33" t="str">
        <x:v>UE010</x:v>
      </x:c>
      <x:c r="C33" t="str">
        <x:f>IFERROR(VLOOKUP(B33,Employee_Master!$A$2:$N$31,2,FALSE),"")</x:f>
        <x:v>Demo Employee 10</x:v>
      </x:c>
      <x:c r="D33" t="str">
        <x:f>IFERROR(VLOOKUP(B33,Employee_Master!$A$2:$N$31,4,FALSE),"")</x:f>
        <x:v>Sales</x:v>
      </x:c>
      <x:c r="E33" t="str">
        <x:v>Microsoft 365</x:v>
      </x:c>
      <x:c r="F33" t="str">
        <x:v>Standard User</x:v>
      </x:c>
      <x:c r="G33" t="str">
        <x:v>Core productivity</x:v>
      </x:c>
      <x:c r="H33" t="str">
        <x:v>UE003</x:v>
      </x:c>
      <x:c r="I33" s="2" t="n">
        <x:v>46070</x:v>
      </x:c>
      <x:c r="J33" s="2" t="n">
        <x:v>46446</x:v>
      </x:c>
      <x:c r="K33" t="str">
        <x:f>IF(J33&lt;TODAY(),"Overdue",IF(J33&lt;=TODAY()+30,"Due Soon","Current"))</x:f>
        <x:v>Current</x:v>
      </x:c>
      <x:c r="L33" t="str">
        <x:v>Yes</x:v>
      </x:c>
      <x:c r="M33" t="str">
        <x:f>IF(L33="No","N/A",IFERROR(VLOOKUP(B33,Employee_Master!$A$2:$N$31,11,FALSE),"Unknown"))</x:f>
        <x:v>Enabled</x:v>
      </x:c>
      <x:c r="N33" t="str">
        <x:v>Low</x:v>
      </x:c>
      <x:c r="O33" t="str">
        <x:v>OK</x:v>
      </x:c>
      <x:c r="P33" t="str"/>
    </x:row>
    <x:row r="34">
      <x:c r="A34" t="str">
        <x:v>ACC-032</x:v>
      </x:c>
      <x:c r="B34" t="str">
        <x:v>UE010</x:v>
      </x:c>
      <x:c r="C34" t="str">
        <x:f>IFERROR(VLOOKUP(B34,Employee_Master!$A$2:$N$31,2,FALSE),"")</x:f>
        <x:v>Demo Employee 10</x:v>
      </x:c>
      <x:c r="D34" t="str">
        <x:f>IFERROR(VLOOKUP(B34,Employee_Master!$A$2:$N$31,4,FALSE),"")</x:f>
        <x:v>Sales</x:v>
      </x:c>
      <x:c r="E34" t="str">
        <x:v>SharePoint - General</x:v>
      </x:c>
      <x:c r="F34" t="str">
        <x:v>Member</x:v>
      </x:c>
      <x:c r="G34" t="str">
        <x:v>Company collaboration</x:v>
      </x:c>
      <x:c r="H34" t="str">
        <x:v>UE003</x:v>
      </x:c>
      <x:c r="I34" s="2" t="n">
        <x:v>46083</x:v>
      </x:c>
      <x:c r="J34" s="2" t="n">
        <x:v>46356</x:v>
      </x:c>
      <x:c r="K34" t="str">
        <x:f>IF(J34&lt;TODAY(),"Overdue",IF(J34&lt;=TODAY()+30,"Due Soon","Current"))</x:f>
        <x:v>Current</x:v>
      </x:c>
      <x:c r="L34" t="str">
        <x:v>Yes</x:v>
      </x:c>
      <x:c r="M34" t="str">
        <x:f>IF(L34="No","N/A",IFERROR(VLOOKUP(B34,Employee_Master!$A$2:$N$31,11,FALSE),"Unknown"))</x:f>
        <x:v>Enabled</x:v>
      </x:c>
      <x:c r="N34" t="str">
        <x:v>Low</x:v>
      </x:c>
      <x:c r="O34" t="str">
        <x:v>OK</x:v>
      </x:c>
      <x:c r="P34" t="str"/>
    </x:row>
    <x:row r="35">
      <x:c r="A35" t="str">
        <x:v>ACC-033</x:v>
      </x:c>
      <x:c r="B35" t="str">
        <x:v>UE010</x:v>
      </x:c>
      <x:c r="C35" t="str">
        <x:f>IFERROR(VLOOKUP(B35,Employee_Master!$A$2:$N$31,2,FALSE),"")</x:f>
        <x:v>Demo Employee 10</x:v>
      </x:c>
      <x:c r="D35" t="str">
        <x:f>IFERROR(VLOOKUP(B35,Employee_Master!$A$2:$N$31,4,FALSE),"")</x:f>
        <x:v>Sales</x:v>
      </x:c>
      <x:c r="E35" t="str">
        <x:v>CRM</x:v>
      </x:c>
      <x:c r="F35" t="str">
        <x:v>Sales User</x:v>
      </x:c>
      <x:c r="G35" t="str">
        <x:v>Customer and lead management</x:v>
      </x:c>
      <x:c r="H35" t="str">
        <x:v>UE008</x:v>
      </x:c>
      <x:c r="I35" s="2" t="n">
        <x:v>46096</x:v>
      </x:c>
      <x:c r="J35" s="2" t="n">
        <x:v>46386</x:v>
      </x:c>
      <x:c r="K35" t="str">
        <x:f>IF(J35&lt;TODAY(),"Overdue",IF(J35&lt;=TODAY()+30,"Due Soon","Current"))</x:f>
        <x:v>Current</x:v>
      </x:c>
      <x:c r="L35" t="str">
        <x:v>Yes</x:v>
      </x:c>
      <x:c r="M35" t="str">
        <x:f>IF(L35="No","N/A",IFERROR(VLOOKUP(B35,Employee_Master!$A$2:$N$31,11,FALSE),"Unknown"))</x:f>
        <x:v>Enabled</x:v>
      </x:c>
      <x:c r="N35" t="str">
        <x:v>Medium</x:v>
      </x:c>
      <x:c r="O35" t="str">
        <x:v>OK</x:v>
      </x:c>
      <x:c r="P35" t="str"/>
    </x:row>
    <x:row r="36">
      <x:c r="A36" t="str">
        <x:v>ACC-034</x:v>
      </x:c>
      <x:c r="B36" t="str">
        <x:v>UE011</x:v>
      </x:c>
      <x:c r="C36" t="str">
        <x:f>IFERROR(VLOOKUP(B36,Employee_Master!$A$2:$N$31,2,FALSE),"")</x:f>
        <x:v>Demo Employee 11</x:v>
      </x:c>
      <x:c r="D36" t="str">
        <x:f>IFERROR(VLOOKUP(B36,Employee_Master!$A$2:$N$31,4,FALSE),"")</x:f>
        <x:v>Sales</x:v>
      </x:c>
      <x:c r="E36" t="str">
        <x:v>Microsoft 365</x:v>
      </x:c>
      <x:c r="F36" t="str">
        <x:v>Standard User</x:v>
      </x:c>
      <x:c r="G36" t="str">
        <x:v>Core productivity</x:v>
      </x:c>
      <x:c r="H36" t="str">
        <x:v>UE003</x:v>
      </x:c>
      <x:c r="I36" s="2" t="n">
        <x:v>46109</x:v>
      </x:c>
      <x:c r="J36" s="2" t="n">
        <x:v>46416</x:v>
      </x:c>
      <x:c r="K36" t="str">
        <x:f>IF(J36&lt;TODAY(),"Overdue",IF(J36&lt;=TODAY()+30,"Due Soon","Current"))</x:f>
        <x:v>Current</x:v>
      </x:c>
      <x:c r="L36" t="str">
        <x:v>Yes</x:v>
      </x:c>
      <x:c r="M36" t="str">
        <x:f>IF(L36="No","N/A",IFERROR(VLOOKUP(B36,Employee_Master!$A$2:$N$31,11,FALSE),"Unknown"))</x:f>
        <x:v>Enabled</x:v>
      </x:c>
      <x:c r="N36" t="str">
        <x:v>Low</x:v>
      </x:c>
      <x:c r="O36" t="str">
        <x:v>OK</x:v>
      </x:c>
      <x:c r="P36" t="str"/>
    </x:row>
    <x:row r="37">
      <x:c r="A37" t="str">
        <x:v>ACC-035</x:v>
      </x:c>
      <x:c r="B37" t="str">
        <x:v>UE011</x:v>
      </x:c>
      <x:c r="C37" t="str">
        <x:f>IFERROR(VLOOKUP(B37,Employee_Master!$A$2:$N$31,2,FALSE),"")</x:f>
        <x:v>Demo Employee 11</x:v>
      </x:c>
      <x:c r="D37" t="str">
        <x:f>IFERROR(VLOOKUP(B37,Employee_Master!$A$2:$N$31,4,FALSE),"")</x:f>
        <x:v>Sales</x:v>
      </x:c>
      <x:c r="E37" t="str">
        <x:v>SharePoint - General</x:v>
      </x:c>
      <x:c r="F37" t="str">
        <x:v>Member</x:v>
      </x:c>
      <x:c r="G37" t="str">
        <x:v>Company collaboration</x:v>
      </x:c>
      <x:c r="H37" t="str">
        <x:v>UE003</x:v>
      </x:c>
      <x:c r="I37" s="2" t="n">
        <x:v>46122</x:v>
      </x:c>
      <x:c r="J37" s="2" t="n">
        <x:v>46285</x:v>
      </x:c>
      <x:c r="K37" t="str">
        <x:f>IF(J37&lt;TODAY(),"Overdue",IF(J37&lt;=TODAY()+30,"Due Soon","Current"))</x:f>
        <x:v>Due Soon</x:v>
      </x:c>
      <x:c r="L37" t="str">
        <x:v>Yes</x:v>
      </x:c>
      <x:c r="M37" t="str">
        <x:f>IF(L37="No","N/A",IFERROR(VLOOKUP(B37,Employee_Master!$A$2:$N$31,11,FALSE),"Unknown"))</x:f>
        <x:v>Enabled</x:v>
      </x:c>
      <x:c r="N37" t="str">
        <x:v>Low</x:v>
      </x:c>
      <x:c r="O37" t="str">
        <x:v>OK</x:v>
      </x:c>
      <x:c r="P37" t="str"/>
    </x:row>
    <x:row r="38">
      <x:c r="A38" t="str">
        <x:v>ACC-036</x:v>
      </x:c>
      <x:c r="B38" t="str">
        <x:v>UE011</x:v>
      </x:c>
      <x:c r="C38" t="str">
        <x:f>IFERROR(VLOOKUP(B38,Employee_Master!$A$2:$N$31,2,FALSE),"")</x:f>
        <x:v>Demo Employee 11</x:v>
      </x:c>
      <x:c r="D38" t="str">
        <x:f>IFERROR(VLOOKUP(B38,Employee_Master!$A$2:$N$31,4,FALSE),"")</x:f>
        <x:v>Sales</x:v>
      </x:c>
      <x:c r="E38" t="str">
        <x:v>CRM</x:v>
      </x:c>
      <x:c r="F38" t="str">
        <x:v>Sales User</x:v>
      </x:c>
      <x:c r="G38" t="str">
        <x:v>Customer and lead management</x:v>
      </x:c>
      <x:c r="H38" t="str">
        <x:v>UE008</x:v>
      </x:c>
      <x:c r="I38" s="2" t="n">
        <x:v>46135</x:v>
      </x:c>
      <x:c r="J38" s="2" t="n">
        <x:v>46356</x:v>
      </x:c>
      <x:c r="K38" t="str">
        <x:f>IF(J38&lt;TODAY(),"Overdue",IF(J38&lt;=TODAY()+30,"Due Soon","Current"))</x:f>
        <x:v>Current</x:v>
      </x:c>
      <x:c r="L38" t="str">
        <x:v>Yes</x:v>
      </x:c>
      <x:c r="M38" t="str">
        <x:f>IF(L38="No","N/A",IFERROR(VLOOKUP(B38,Employee_Master!$A$2:$N$31,11,FALSE),"Unknown"))</x:f>
        <x:v>Enabled</x:v>
      </x:c>
      <x:c r="N38" t="str">
        <x:v>Medium</x:v>
      </x:c>
      <x:c r="O38" t="str">
        <x:v>OK</x:v>
      </x:c>
      <x:c r="P38" t="str"/>
    </x:row>
    <x:row r="39">
      <x:c r="A39" t="str">
        <x:v>ACC-037</x:v>
      </x:c>
      <x:c r="B39" t="str">
        <x:v>UE012</x:v>
      </x:c>
      <x:c r="C39" t="str">
        <x:f>IFERROR(VLOOKUP(B39,Employee_Master!$A$2:$N$31,2,FALSE),"")</x:f>
        <x:v>Demo Employee 12</x:v>
      </x:c>
      <x:c r="D39" t="str">
        <x:f>IFERROR(VLOOKUP(B39,Employee_Master!$A$2:$N$31,4,FALSE),"")</x:f>
        <x:v>Sales</x:v>
      </x:c>
      <x:c r="E39" t="str">
        <x:v>Microsoft 365</x:v>
      </x:c>
      <x:c r="F39" t="str">
        <x:v>Standard User</x:v>
      </x:c>
      <x:c r="G39" t="str">
        <x:v>Core productivity</x:v>
      </x:c>
      <x:c r="H39" t="str">
        <x:v>UE003</x:v>
      </x:c>
      <x:c r="I39" s="2" t="n">
        <x:v>46148</x:v>
      </x:c>
      <x:c r="J39" s="2" t="n">
        <x:v>46386</x:v>
      </x:c>
      <x:c r="K39" t="str">
        <x:f>IF(J39&lt;TODAY(),"Overdue",IF(J39&lt;=TODAY()+30,"Due Soon","Current"))</x:f>
        <x:v>Current</x:v>
      </x:c>
      <x:c r="L39" t="str">
        <x:v>Yes</x:v>
      </x:c>
      <x:c r="M39" t="str">
        <x:f>IF(L39="No","N/A",IFERROR(VLOOKUP(B39,Employee_Master!$A$2:$N$31,11,FALSE),"Unknown"))</x:f>
        <x:v>Enabled</x:v>
      </x:c>
      <x:c r="N39" t="str">
        <x:v>Low</x:v>
      </x:c>
      <x:c r="O39" t="str">
        <x:v>OK</x:v>
      </x:c>
      <x:c r="P39" t="str"/>
    </x:row>
    <x:row r="40">
      <x:c r="A40" t="str">
        <x:v>ACC-038</x:v>
      </x:c>
      <x:c r="B40" t="str">
        <x:v>UE012</x:v>
      </x:c>
      <x:c r="C40" t="str">
        <x:f>IFERROR(VLOOKUP(B40,Employee_Master!$A$2:$N$31,2,FALSE),"")</x:f>
        <x:v>Demo Employee 12</x:v>
      </x:c>
      <x:c r="D40" t="str">
        <x:f>IFERROR(VLOOKUP(B40,Employee_Master!$A$2:$N$31,4,FALSE),"")</x:f>
        <x:v>Sales</x:v>
      </x:c>
      <x:c r="E40" t="str">
        <x:v>SharePoint - General</x:v>
      </x:c>
      <x:c r="F40" t="str">
        <x:v>Member</x:v>
      </x:c>
      <x:c r="G40" t="str">
        <x:v>Company collaboration</x:v>
      </x:c>
      <x:c r="H40" t="str">
        <x:v>UE003</x:v>
      </x:c>
      <x:c r="I40" s="2" t="n">
        <x:v>46161</x:v>
      </x:c>
      <x:c r="J40" s="2" t="n">
        <x:v>46416</x:v>
      </x:c>
      <x:c r="K40" t="str">
        <x:f>IF(J40&lt;TODAY(),"Overdue",IF(J40&lt;=TODAY()+30,"Due Soon","Current"))</x:f>
        <x:v>Current</x:v>
      </x:c>
      <x:c r="L40" t="str">
        <x:v>Yes</x:v>
      </x:c>
      <x:c r="M40" t="str">
        <x:f>IF(L40="No","N/A",IFERROR(VLOOKUP(B40,Employee_Master!$A$2:$N$31,11,FALSE),"Unknown"))</x:f>
        <x:v>Enabled</x:v>
      </x:c>
      <x:c r="N40" t="str">
        <x:v>Low</x:v>
      </x:c>
      <x:c r="O40" t="str">
        <x:v>OK</x:v>
      </x:c>
      <x:c r="P40" t="str"/>
    </x:row>
    <x:row r="41">
      <x:c r="A41" t="str">
        <x:v>ACC-039</x:v>
      </x:c>
      <x:c r="B41" t="str">
        <x:v>UE012</x:v>
      </x:c>
      <x:c r="C41" t="str">
        <x:f>IFERROR(VLOOKUP(B41,Employee_Master!$A$2:$N$31,2,FALSE),"")</x:f>
        <x:v>Demo Employee 12</x:v>
      </x:c>
      <x:c r="D41" t="str">
        <x:f>IFERROR(VLOOKUP(B41,Employee_Master!$A$2:$N$31,4,FALSE),"")</x:f>
        <x:v>Sales</x:v>
      </x:c>
      <x:c r="E41" t="str">
        <x:v>CRM</x:v>
      </x:c>
      <x:c r="F41" t="str">
        <x:v>Sales User</x:v>
      </x:c>
      <x:c r="G41" t="str">
        <x:v>Customer and lead management</x:v>
      </x:c>
      <x:c r="H41" t="str">
        <x:v>UE008</x:v>
      </x:c>
      <x:c r="I41" s="2" t="n">
        <x:v>46174</x:v>
      </x:c>
      <x:c r="J41" s="2" t="n">
        <x:v>46446</x:v>
      </x:c>
      <x:c r="K41" t="str">
        <x:f>IF(J41&lt;TODAY(),"Overdue",IF(J41&lt;=TODAY()+30,"Due Soon","Current"))</x:f>
        <x:v>Current</x:v>
      </x:c>
      <x:c r="L41" t="str">
        <x:v>Yes</x:v>
      </x:c>
      <x:c r="M41" t="str">
        <x:f>IF(L41="No","N/A",IFERROR(VLOOKUP(B41,Employee_Master!$A$2:$N$31,11,FALSE),"Unknown"))</x:f>
        <x:v>Enabled</x:v>
      </x:c>
      <x:c r="N41" t="str">
        <x:v>Medium</x:v>
      </x:c>
      <x:c r="O41" t="str">
        <x:v>OK</x:v>
      </x:c>
      <x:c r="P41" t="str"/>
    </x:row>
    <x:row r="42">
      <x:c r="A42" t="str">
        <x:v>ACC-040</x:v>
      </x:c>
      <x:c r="B42" t="str">
        <x:v>UE013</x:v>
      </x:c>
      <x:c r="C42" t="str">
        <x:f>IFERROR(VLOOKUP(B42,Employee_Master!$A$2:$N$31,2,FALSE),"")</x:f>
        <x:v>Demo Employee 13</x:v>
      </x:c>
      <x:c r="D42" t="str">
        <x:f>IFERROR(VLOOKUP(B42,Employee_Master!$A$2:$N$31,4,FALSE),"")</x:f>
        <x:v>Finance</x:v>
      </x:c>
      <x:c r="E42" t="str">
        <x:v>Microsoft 365</x:v>
      </x:c>
      <x:c r="F42" t="str">
        <x:v>Standard User</x:v>
      </x:c>
      <x:c r="G42" t="str">
        <x:v>Core productivity</x:v>
      </x:c>
      <x:c r="H42" t="str">
        <x:v>UE003</x:v>
      </x:c>
      <x:c r="I42" s="2" t="n">
        <x:v>45667</x:v>
      </x:c>
      <x:c r="J42" s="2" t="n">
        <x:v>46356</x:v>
      </x:c>
      <x:c r="K42" t="str">
        <x:f>IF(J42&lt;TODAY(),"Overdue",IF(J42&lt;=TODAY()+30,"Due Soon","Current"))</x:f>
        <x:v>Current</x:v>
      </x:c>
      <x:c r="L42" t="str">
        <x:v>Yes</x:v>
      </x:c>
      <x:c r="M42" t="str">
        <x:f>IF(L42="No","N/A",IFERROR(VLOOKUP(B42,Employee_Master!$A$2:$N$31,11,FALSE),"Unknown"))</x:f>
        <x:v>Enabled</x:v>
      </x:c>
      <x:c r="N42" t="str">
        <x:v>Low</x:v>
      </x:c>
      <x:c r="O42" t="str">
        <x:v>OK</x:v>
      </x:c>
      <x:c r="P42" t="str"/>
    </x:row>
    <x:row r="43">
      <x:c r="A43" t="str">
        <x:v>ACC-041</x:v>
      </x:c>
      <x:c r="B43" t="str">
        <x:v>UE013</x:v>
      </x:c>
      <x:c r="C43" t="str">
        <x:f>IFERROR(VLOOKUP(B43,Employee_Master!$A$2:$N$31,2,FALSE),"")</x:f>
        <x:v>Demo Employee 13</x:v>
      </x:c>
      <x:c r="D43" t="str">
        <x:f>IFERROR(VLOOKUP(B43,Employee_Master!$A$2:$N$31,4,FALSE),"")</x:f>
        <x:v>Finance</x:v>
      </x:c>
      <x:c r="E43" t="str">
        <x:v>SharePoint - General</x:v>
      </x:c>
      <x:c r="F43" t="str">
        <x:v>Member</x:v>
      </x:c>
      <x:c r="G43" t="str">
        <x:v>Company collaboration</x:v>
      </x:c>
      <x:c r="H43" t="str">
        <x:v>UE003</x:v>
      </x:c>
      <x:c r="I43" s="2" t="n">
        <x:v>45680</x:v>
      </x:c>
      <x:c r="J43" s="2" t="n">
        <x:v>46386</x:v>
      </x:c>
      <x:c r="K43" t="str">
        <x:f>IF(J43&lt;TODAY(),"Overdue",IF(J43&lt;=TODAY()+30,"Due Soon","Current"))</x:f>
        <x:v>Current</x:v>
      </x:c>
      <x:c r="L43" t="str">
        <x:v>Yes</x:v>
      </x:c>
      <x:c r="M43" t="str">
        <x:f>IF(L43="No","N/A",IFERROR(VLOOKUP(B43,Employee_Master!$A$2:$N$31,11,FALSE),"Unknown"))</x:f>
        <x:v>Enabled</x:v>
      </x:c>
      <x:c r="N43" t="str">
        <x:v>Low</x:v>
      </x:c>
      <x:c r="O43" t="str">
        <x:v>OK</x:v>
      </x:c>
      <x:c r="P43" t="str"/>
    </x:row>
    <x:row r="44">
      <x:c r="A44" t="str">
        <x:v>ACC-042</x:v>
      </x:c>
      <x:c r="B44" t="str">
        <x:v>UE013</x:v>
      </x:c>
      <x:c r="C44" t="str">
        <x:f>IFERROR(VLOOKUP(B44,Employee_Master!$A$2:$N$31,2,FALSE),"")</x:f>
        <x:v>Demo Employee 13</x:v>
      </x:c>
      <x:c r="D44" t="str">
        <x:f>IFERROR(VLOOKUP(B44,Employee_Master!$A$2:$N$31,4,FALSE),"")</x:f>
        <x:v>Finance</x:v>
      </x:c>
      <x:c r="E44" t="str">
        <x:v>Finance System</x:v>
      </x:c>
      <x:c r="F44" t="str">
        <x:v>Finance User</x:v>
      </x:c>
      <x:c r="G44" t="str">
        <x:v>Accounts processing</x:v>
      </x:c>
      <x:c r="H44" t="str">
        <x:v>UE002</x:v>
      </x:c>
      <x:c r="I44" s="2" t="n">
        <x:v>45693</x:v>
      </x:c>
      <x:c r="J44" s="2" t="n">
        <x:v>46416</x:v>
      </x:c>
      <x:c r="K44" t="str">
        <x:f>IF(J44&lt;TODAY(),"Overdue",IF(J44&lt;=TODAY()+30,"Due Soon","Current"))</x:f>
        <x:v>Current</x:v>
      </x:c>
      <x:c r="L44" t="str">
        <x:v>Yes</x:v>
      </x:c>
      <x:c r="M44" t="str">
        <x:f>IF(L44="No","N/A",IFERROR(VLOOKUP(B44,Employee_Master!$A$2:$N$31,11,FALSE),"Unknown"))</x:f>
        <x:v>Enabled</x:v>
      </x:c>
      <x:c r="N44" t="str">
        <x:v>High</x:v>
      </x:c>
      <x:c r="O44" t="str">
        <x:v>OK</x:v>
      </x:c>
      <x:c r="P44" t="str"/>
    </x:row>
    <x:row r="45">
      <x:c r="A45" t="str">
        <x:v>ACC-043</x:v>
      </x:c>
      <x:c r="B45" t="str">
        <x:v>UE013</x:v>
      </x:c>
      <x:c r="C45" t="str">
        <x:f>IFERROR(VLOOKUP(B45,Employee_Master!$A$2:$N$31,2,FALSE),"")</x:f>
        <x:v>Demo Employee 13</x:v>
      </x:c>
      <x:c r="D45" t="str">
        <x:f>IFERROR(VLOOKUP(B45,Employee_Master!$A$2:$N$31,4,FALSE),"")</x:f>
        <x:v>Finance</x:v>
      </x:c>
      <x:c r="E45" t="str">
        <x:v>Finance SharePoint</x:v>
      </x:c>
      <x:c r="F45" t="str">
        <x:v>Member</x:v>
      </x:c>
      <x:c r="G45" t="str">
        <x:v>Financial documents</x:v>
      </x:c>
      <x:c r="H45" t="str">
        <x:v>UE002</x:v>
      </x:c>
      <x:c r="I45" s="2" t="n">
        <x:v>45706</x:v>
      </x:c>
      <x:c r="J45" s="2" t="n">
        <x:v>46446</x:v>
      </x:c>
      <x:c r="K45" t="str">
        <x:f>IF(J45&lt;TODAY(),"Overdue",IF(J45&lt;=TODAY()+30,"Due Soon","Current"))</x:f>
        <x:v>Current</x:v>
      </x:c>
      <x:c r="L45" t="str">
        <x:v>Yes</x:v>
      </x:c>
      <x:c r="M45" t="str">
        <x:f>IF(L45="No","N/A",IFERROR(VLOOKUP(B45,Employee_Master!$A$2:$N$31,11,FALSE),"Unknown"))</x:f>
        <x:v>Enabled</x:v>
      </x:c>
      <x:c r="N45" t="str">
        <x:v>High</x:v>
      </x:c>
      <x:c r="O45" t="str">
        <x:v>OK</x:v>
      </x:c>
      <x:c r="P45" t="str"/>
    </x:row>
    <x:row r="46">
      <x:c r="A46" t="str">
        <x:v>ACC-044</x:v>
      </x:c>
      <x:c r="B46" t="str">
        <x:v>UE014</x:v>
      </x:c>
      <x:c r="C46" t="str">
        <x:f>IFERROR(VLOOKUP(B46,Employee_Master!$A$2:$N$31,2,FALSE),"")</x:f>
        <x:v>Demo Employee 14</x:v>
      </x:c>
      <x:c r="D46" t="str">
        <x:f>IFERROR(VLOOKUP(B46,Employee_Master!$A$2:$N$31,4,FALSE),"")</x:f>
        <x:v>Finance</x:v>
      </x:c>
      <x:c r="E46" t="str">
        <x:v>Microsoft 365</x:v>
      </x:c>
      <x:c r="F46" t="str">
        <x:v>Standard User</x:v>
      </x:c>
      <x:c r="G46" t="str">
        <x:v>Core productivity</x:v>
      </x:c>
      <x:c r="H46" t="str">
        <x:v>UE003</x:v>
      </x:c>
      <x:c r="I46" s="2" t="n">
        <x:v>45719</x:v>
      </x:c>
      <x:c r="J46" s="2" t="n">
        <x:v>46356</x:v>
      </x:c>
      <x:c r="K46" t="str">
        <x:f>IF(J46&lt;TODAY(),"Overdue",IF(J46&lt;=TODAY()+30,"Due Soon","Current"))</x:f>
        <x:v>Current</x:v>
      </x:c>
      <x:c r="L46" t="str">
        <x:v>Yes</x:v>
      </x:c>
      <x:c r="M46" t="str">
        <x:f>IF(L46="No","N/A",IFERROR(VLOOKUP(B46,Employee_Master!$A$2:$N$31,11,FALSE),"Unknown"))</x:f>
        <x:v>Enabled</x:v>
      </x:c>
      <x:c r="N46" t="str">
        <x:v>Low</x:v>
      </x:c>
      <x:c r="O46" t="str">
        <x:v>OK</x:v>
      </x:c>
      <x:c r="P46" t="str"/>
    </x:row>
    <x:row r="47">
      <x:c r="A47" t="str">
        <x:v>ACC-045</x:v>
      </x:c>
      <x:c r="B47" t="str">
        <x:v>UE014</x:v>
      </x:c>
      <x:c r="C47" t="str">
        <x:f>IFERROR(VLOOKUP(B47,Employee_Master!$A$2:$N$31,2,FALSE),"")</x:f>
        <x:v>Demo Employee 14</x:v>
      </x:c>
      <x:c r="D47" t="str">
        <x:f>IFERROR(VLOOKUP(B47,Employee_Master!$A$2:$N$31,4,FALSE),"")</x:f>
        <x:v>Finance</x:v>
      </x:c>
      <x:c r="E47" t="str">
        <x:v>SharePoint - General</x:v>
      </x:c>
      <x:c r="F47" t="str">
        <x:v>Member</x:v>
      </x:c>
      <x:c r="G47" t="str">
        <x:v>Company collaboration</x:v>
      </x:c>
      <x:c r="H47" t="str">
        <x:v>UE003</x:v>
      </x:c>
      <x:c r="I47" s="2" t="n">
        <x:v>45732</x:v>
      </x:c>
      <x:c r="J47" s="2" t="n">
        <x:v>46386</x:v>
      </x:c>
      <x:c r="K47" t="str">
        <x:f>IF(J47&lt;TODAY(),"Overdue",IF(J47&lt;=TODAY()+30,"Due Soon","Current"))</x:f>
        <x:v>Current</x:v>
      </x:c>
      <x:c r="L47" t="str">
        <x:v>Yes</x:v>
      </x:c>
      <x:c r="M47" t="str">
        <x:f>IF(L47="No","N/A",IFERROR(VLOOKUP(B47,Employee_Master!$A$2:$N$31,11,FALSE),"Unknown"))</x:f>
        <x:v>Enabled</x:v>
      </x:c>
      <x:c r="N47" t="str">
        <x:v>Low</x:v>
      </x:c>
      <x:c r="O47" t="str">
        <x:v>OK</x:v>
      </x:c>
      <x:c r="P47" t="str"/>
    </x:row>
    <x:row r="48">
      <x:c r="A48" t="str">
        <x:v>ACC-046</x:v>
      </x:c>
      <x:c r="B48" t="str">
        <x:v>UE014</x:v>
      </x:c>
      <x:c r="C48" t="str">
        <x:f>IFERROR(VLOOKUP(B48,Employee_Master!$A$2:$N$31,2,FALSE),"")</x:f>
        <x:v>Demo Employee 14</x:v>
      </x:c>
      <x:c r="D48" t="str">
        <x:f>IFERROR(VLOOKUP(B48,Employee_Master!$A$2:$N$31,4,FALSE),"")</x:f>
        <x:v>Finance</x:v>
      </x:c>
      <x:c r="E48" t="str">
        <x:v>Finance System</x:v>
      </x:c>
      <x:c r="F48" t="str">
        <x:v>Finance User</x:v>
      </x:c>
      <x:c r="G48" t="str">
        <x:v>Accounts processing</x:v>
      </x:c>
      <x:c r="H48" t="str">
        <x:v>UE002</x:v>
      </x:c>
      <x:c r="I48" s="2" t="n">
        <x:v>45745</x:v>
      </x:c>
      <x:c r="J48" s="2" t="n">
        <x:v>46416</x:v>
      </x:c>
      <x:c r="K48" t="str">
        <x:f>IF(J48&lt;TODAY(),"Overdue",IF(J48&lt;=TODAY()+30,"Due Soon","Current"))</x:f>
        <x:v>Current</x:v>
      </x:c>
      <x:c r="L48" t="str">
        <x:v>Yes</x:v>
      </x:c>
      <x:c r="M48" t="str">
        <x:f>IF(L48="No","N/A",IFERROR(VLOOKUP(B48,Employee_Master!$A$2:$N$31,11,FALSE),"Unknown"))</x:f>
        <x:v>Enabled</x:v>
      </x:c>
      <x:c r="N48" t="str">
        <x:v>High</x:v>
      </x:c>
      <x:c r="O48" t="str">
        <x:v>OK</x:v>
      </x:c>
      <x:c r="P48" t="str"/>
    </x:row>
    <x:row r="49">
      <x:c r="A49" t="str">
        <x:v>ACC-047</x:v>
      </x:c>
      <x:c r="B49" t="str">
        <x:v>UE014</x:v>
      </x:c>
      <x:c r="C49" t="str">
        <x:f>IFERROR(VLOOKUP(B49,Employee_Master!$A$2:$N$31,2,FALSE),"")</x:f>
        <x:v>Demo Employee 14</x:v>
      </x:c>
      <x:c r="D49" t="str">
        <x:f>IFERROR(VLOOKUP(B49,Employee_Master!$A$2:$N$31,4,FALSE),"")</x:f>
        <x:v>Finance</x:v>
      </x:c>
      <x:c r="E49" t="str">
        <x:v>Finance SharePoint</x:v>
      </x:c>
      <x:c r="F49" t="str">
        <x:v>Member</x:v>
      </x:c>
      <x:c r="G49" t="str">
        <x:v>Financial documents</x:v>
      </x:c>
      <x:c r="H49" t="str">
        <x:v>UE002</x:v>
      </x:c>
      <x:c r="I49" s="2" t="n">
        <x:v>45758</x:v>
      </x:c>
      <x:c r="J49" s="2" t="n">
        <x:v>46254</x:v>
      </x:c>
      <x:c r="K49" t="str">
        <x:f>IF(J49&lt;TODAY(),"Overdue",IF(J49&lt;=TODAY()+30,"Due Soon","Current"))</x:f>
        <x:v>Overdue</x:v>
      </x:c>
      <x:c r="L49" t="str">
        <x:v>Yes</x:v>
      </x:c>
      <x:c r="M49" t="str">
        <x:f>IF(L49="No","N/A",IFERROR(VLOOKUP(B49,Employee_Master!$A$2:$N$31,11,FALSE),"Unknown"))</x:f>
        <x:v>Enabled</x:v>
      </x:c>
      <x:c r="N49" t="str">
        <x:v>High</x:v>
      </x:c>
      <x:c r="O49" t="str">
        <x:v>Review</x:v>
      </x:c>
      <x:c r="P49" t="str">
        <x:v>Demo exception included for access-review analysis</x:v>
      </x:c>
    </x:row>
    <x:row r="50">
      <x:c r="A50" t="str">
        <x:v>ACC-048</x:v>
      </x:c>
      <x:c r="B50" t="str">
        <x:v>UE015</x:v>
      </x:c>
      <x:c r="C50" t="str">
        <x:f>IFERROR(VLOOKUP(B50,Employee_Master!$A$2:$N$31,2,FALSE),"")</x:f>
        <x:v>Demo Employee 15</x:v>
      </x:c>
      <x:c r="D50" t="str">
        <x:f>IFERROR(VLOOKUP(B50,Employee_Master!$A$2:$N$31,4,FALSE),"")</x:f>
        <x:v>Finance</x:v>
      </x:c>
      <x:c r="E50" t="str">
        <x:v>Microsoft 365</x:v>
      </x:c>
      <x:c r="F50" t="str">
        <x:v>Standard User</x:v>
      </x:c>
      <x:c r="G50" t="str">
        <x:v>Core productivity</x:v>
      </x:c>
      <x:c r="H50" t="str">
        <x:v>UE003</x:v>
      </x:c>
      <x:c r="I50" s="2" t="n">
        <x:v>45771</x:v>
      </x:c>
      <x:c r="J50" s="2" t="n">
        <x:v>46356</x:v>
      </x:c>
      <x:c r="K50" t="str">
        <x:f>IF(J50&lt;TODAY(),"Overdue",IF(J50&lt;=TODAY()+30,"Due Soon","Current"))</x:f>
        <x:v>Current</x:v>
      </x:c>
      <x:c r="L50" t="str">
        <x:v>Yes</x:v>
      </x:c>
      <x:c r="M50" t="str">
        <x:f>IF(L50="No","N/A",IFERROR(VLOOKUP(B50,Employee_Master!$A$2:$N$31,11,FALSE),"Unknown"))</x:f>
        <x:v>Enabled</x:v>
      </x:c>
      <x:c r="N50" t="str">
        <x:v>Low</x:v>
      </x:c>
      <x:c r="O50" t="str">
        <x:v>OK</x:v>
      </x:c>
      <x:c r="P50" t="str"/>
    </x:row>
    <x:row r="51">
      <x:c r="A51" t="str">
        <x:v>ACC-049</x:v>
      </x:c>
      <x:c r="B51" t="str">
        <x:v>UE015</x:v>
      </x:c>
      <x:c r="C51" t="str">
        <x:f>IFERROR(VLOOKUP(B51,Employee_Master!$A$2:$N$31,2,FALSE),"")</x:f>
        <x:v>Demo Employee 15</x:v>
      </x:c>
      <x:c r="D51" t="str">
        <x:f>IFERROR(VLOOKUP(B51,Employee_Master!$A$2:$N$31,4,FALSE),"")</x:f>
        <x:v>Finance</x:v>
      </x:c>
      <x:c r="E51" t="str">
        <x:v>SharePoint - General</x:v>
      </x:c>
      <x:c r="F51" t="str">
        <x:v>Member</x:v>
      </x:c>
      <x:c r="G51" t="str">
        <x:v>Company collaboration</x:v>
      </x:c>
      <x:c r="H51" t="str">
        <x:v>UE003</x:v>
      </x:c>
      <x:c r="I51" s="2" t="n">
        <x:v>45784</x:v>
      </x:c>
      <x:c r="J51" s="2" t="n">
        <x:v>46386</x:v>
      </x:c>
      <x:c r="K51" t="str">
        <x:f>IF(J51&lt;TODAY(),"Overdue",IF(J51&lt;=TODAY()+30,"Due Soon","Current"))</x:f>
        <x:v>Current</x:v>
      </x:c>
      <x:c r="L51" t="str">
        <x:v>Yes</x:v>
      </x:c>
      <x:c r="M51" t="str">
        <x:f>IF(L51="No","N/A",IFERROR(VLOOKUP(B51,Employee_Master!$A$2:$N$31,11,FALSE),"Unknown"))</x:f>
        <x:v>Enabled</x:v>
      </x:c>
      <x:c r="N51" t="str">
        <x:v>Low</x:v>
      </x:c>
      <x:c r="O51" t="str">
        <x:v>OK</x:v>
      </x:c>
      <x:c r="P51" t="str"/>
    </x:row>
    <x:row r="52">
      <x:c r="A52" t="str">
        <x:v>ACC-050</x:v>
      </x:c>
      <x:c r="B52" t="str">
        <x:v>UE015</x:v>
      </x:c>
      <x:c r="C52" t="str">
        <x:f>IFERROR(VLOOKUP(B52,Employee_Master!$A$2:$N$31,2,FALSE),"")</x:f>
        <x:v>Demo Employee 15</x:v>
      </x:c>
      <x:c r="D52" t="str">
        <x:f>IFERROR(VLOOKUP(B52,Employee_Master!$A$2:$N$31,4,FALSE),"")</x:f>
        <x:v>Finance</x:v>
      </x:c>
      <x:c r="E52" t="str">
        <x:v>Finance System</x:v>
      </x:c>
      <x:c r="F52" t="str">
        <x:v>Finance User</x:v>
      </x:c>
      <x:c r="G52" t="str">
        <x:v>Accounts processing</x:v>
      </x:c>
      <x:c r="H52" t="str">
        <x:v>UE002</x:v>
      </x:c>
      <x:c r="I52" s="2" t="n">
        <x:v>45797</x:v>
      </x:c>
      <x:c r="J52" s="2" t="n">
        <x:v>46416</x:v>
      </x:c>
      <x:c r="K52" t="str">
        <x:f>IF(J52&lt;TODAY(),"Overdue",IF(J52&lt;=TODAY()+30,"Due Soon","Current"))</x:f>
        <x:v>Current</x:v>
      </x:c>
      <x:c r="L52" t="str">
        <x:v>Yes</x:v>
      </x:c>
      <x:c r="M52" t="str">
        <x:f>IF(L52="No","N/A",IFERROR(VLOOKUP(B52,Employee_Master!$A$2:$N$31,11,FALSE),"Unknown"))</x:f>
        <x:v>Enabled</x:v>
      </x:c>
      <x:c r="N52" t="str">
        <x:v>High</x:v>
      </x:c>
      <x:c r="O52" t="str">
        <x:v>OK</x:v>
      </x:c>
      <x:c r="P52" t="str"/>
    </x:row>
    <x:row r="53">
      <x:c r="A53" t="str">
        <x:v>ACC-051</x:v>
      </x:c>
      <x:c r="B53" t="str">
        <x:v>UE015</x:v>
      </x:c>
      <x:c r="C53" t="str">
        <x:f>IFERROR(VLOOKUP(B53,Employee_Master!$A$2:$N$31,2,FALSE),"")</x:f>
        <x:v>Demo Employee 15</x:v>
      </x:c>
      <x:c r="D53" t="str">
        <x:f>IFERROR(VLOOKUP(B53,Employee_Master!$A$2:$N$31,4,FALSE),"")</x:f>
        <x:v>Finance</x:v>
      </x:c>
      <x:c r="E53" t="str">
        <x:v>Finance SharePoint</x:v>
      </x:c>
      <x:c r="F53" t="str">
        <x:v>Member</x:v>
      </x:c>
      <x:c r="G53" t="str">
        <x:v>Financial documents</x:v>
      </x:c>
      <x:c r="H53" t="str">
        <x:v>UE002</x:v>
      </x:c>
      <x:c r="I53" s="2" t="n">
        <x:v>45810</x:v>
      </x:c>
      <x:c r="J53" s="2" t="n">
        <x:v>46446</x:v>
      </x:c>
      <x:c r="K53" t="str">
        <x:f>IF(J53&lt;TODAY(),"Overdue",IF(J53&lt;=TODAY()+30,"Due Soon","Current"))</x:f>
        <x:v>Current</x:v>
      </x:c>
      <x:c r="L53" t="str">
        <x:v>Yes</x:v>
      </x:c>
      <x:c r="M53" t="str">
        <x:f>IF(L53="No","N/A",IFERROR(VLOOKUP(B53,Employee_Master!$A$2:$N$31,11,FALSE),"Unknown"))</x:f>
        <x:v>Enabled</x:v>
      </x:c>
      <x:c r="N53" t="str">
        <x:v>High</x:v>
      </x:c>
      <x:c r="O53" t="str">
        <x:v>OK</x:v>
      </x:c>
      <x:c r="P53" t="str"/>
    </x:row>
    <x:row r="54">
      <x:c r="A54" t="str">
        <x:v>ACC-052</x:v>
      </x:c>
      <x:c r="B54" t="str">
        <x:v>UE016</x:v>
      </x:c>
      <x:c r="C54" t="str">
        <x:f>IFERROR(VLOOKUP(B54,Employee_Master!$A$2:$N$31,2,FALSE),"")</x:f>
        <x:v>Demo Employee 16</x:v>
      </x:c>
      <x:c r="D54" t="str">
        <x:f>IFERROR(VLOOKUP(B54,Employee_Master!$A$2:$N$31,4,FALSE),"")</x:f>
        <x:v>Estimating &amp; Planning</x:v>
      </x:c>
      <x:c r="E54" t="str">
        <x:v>Microsoft 365</x:v>
      </x:c>
      <x:c r="F54" t="str">
        <x:v>Standard User</x:v>
      </x:c>
      <x:c r="G54" t="str">
        <x:v>Core productivity</x:v>
      </x:c>
      <x:c r="H54" t="str">
        <x:v>UE003</x:v>
      </x:c>
      <x:c r="I54" s="2" t="n">
        <x:v>45823</x:v>
      </x:c>
      <x:c r="J54" s="2" t="n">
        <x:v>46356</x:v>
      </x:c>
      <x:c r="K54" t="str">
        <x:f>IF(J54&lt;TODAY(),"Overdue",IF(J54&lt;=TODAY()+30,"Due Soon","Current"))</x:f>
        <x:v>Current</x:v>
      </x:c>
      <x:c r="L54" t="str">
        <x:v>Yes</x:v>
      </x:c>
      <x:c r="M54" t="str">
        <x:f>IF(L54="No","N/A",IFERROR(VLOOKUP(B54,Employee_Master!$A$2:$N$31,11,FALSE),"Unknown"))</x:f>
        <x:v>Enabled</x:v>
      </x:c>
      <x:c r="N54" t="str">
        <x:v>Low</x:v>
      </x:c>
      <x:c r="O54" t="str">
        <x:v>OK</x:v>
      </x:c>
      <x:c r="P54" t="str"/>
    </x:row>
    <x:row r="55">
      <x:c r="A55" t="str">
        <x:v>ACC-053</x:v>
      </x:c>
      <x:c r="B55" t="str">
        <x:v>UE016</x:v>
      </x:c>
      <x:c r="C55" t="str">
        <x:f>IFERROR(VLOOKUP(B55,Employee_Master!$A$2:$N$31,2,FALSE),"")</x:f>
        <x:v>Demo Employee 16</x:v>
      </x:c>
      <x:c r="D55" t="str">
        <x:f>IFERROR(VLOOKUP(B55,Employee_Master!$A$2:$N$31,4,FALSE),"")</x:f>
        <x:v>Estimating &amp; Planning</x:v>
      </x:c>
      <x:c r="E55" t="str">
        <x:v>SharePoint - General</x:v>
      </x:c>
      <x:c r="F55" t="str">
        <x:v>Member</x:v>
      </x:c>
      <x:c r="G55" t="str">
        <x:v>Company collaboration</x:v>
      </x:c>
      <x:c r="H55" t="str">
        <x:v>UE003</x:v>
      </x:c>
      <x:c r="I55" s="2" t="n">
        <x:v>45836</x:v>
      </x:c>
      <x:c r="J55" s="2" t="n">
        <x:v>46386</x:v>
      </x:c>
      <x:c r="K55" t="str">
        <x:f>IF(J55&lt;TODAY(),"Overdue",IF(J55&lt;=TODAY()+30,"Due Soon","Current"))</x:f>
        <x:v>Current</x:v>
      </x:c>
      <x:c r="L55" t="str">
        <x:v>Yes</x:v>
      </x:c>
      <x:c r="M55" t="str">
        <x:f>IF(L55="No","N/A",IFERROR(VLOOKUP(B55,Employee_Master!$A$2:$N$31,11,FALSE),"Unknown"))</x:f>
        <x:v>Enabled</x:v>
      </x:c>
      <x:c r="N55" t="str">
        <x:v>Low</x:v>
      </x:c>
      <x:c r="O55" t="str">
        <x:v>OK</x:v>
      </x:c>
      <x:c r="P55" t="str"/>
    </x:row>
    <x:row r="56">
      <x:c r="A56" t="str">
        <x:v>ACC-054</x:v>
      </x:c>
      <x:c r="B56" t="str">
        <x:v>UE016</x:v>
      </x:c>
      <x:c r="C56" t="str">
        <x:f>IFERROR(VLOOKUP(B56,Employee_Master!$A$2:$N$31,2,FALSE),"")</x:f>
        <x:v>Demo Employee 16</x:v>
      </x:c>
      <x:c r="D56" t="str">
        <x:f>IFERROR(VLOOKUP(B56,Employee_Master!$A$2:$N$31,4,FALSE),"")</x:f>
        <x:v>Estimating &amp; Planning</x:v>
      </x:c>
      <x:c r="E56" t="str">
        <x:v>Estimating &amp; Plans SharePoint</x:v>
      </x:c>
      <x:c r="F56" t="str">
        <x:v>Member</x:v>
      </x:c>
      <x:c r="G56" t="str">
        <x:v>Plans and estimating files</x:v>
      </x:c>
      <x:c r="H56" t="str">
        <x:v>UE003</x:v>
      </x:c>
      <x:c r="I56" s="2" t="n">
        <x:v>45849</x:v>
      </x:c>
      <x:c r="J56" s="2" t="n">
        <x:v>46416</x:v>
      </x:c>
      <x:c r="K56" t="str">
        <x:f>IF(J56&lt;TODAY(),"Overdue",IF(J56&lt;=TODAY()+30,"Due Soon","Current"))</x:f>
        <x:v>Current</x:v>
      </x:c>
      <x:c r="L56" t="str">
        <x:v>Yes</x:v>
      </x:c>
      <x:c r="M56" t="str">
        <x:f>IF(L56="No","N/A",IFERROR(VLOOKUP(B56,Employee_Master!$A$2:$N$31,11,FALSE),"Unknown"))</x:f>
        <x:v>Enabled</x:v>
      </x:c>
      <x:c r="N56" t="str">
        <x:v>Medium</x:v>
      </x:c>
      <x:c r="O56" t="str">
        <x:v>OK</x:v>
      </x:c>
      <x:c r="P56" t="str"/>
    </x:row>
    <x:row r="57">
      <x:c r="A57" t="str">
        <x:v>ACC-055</x:v>
      </x:c>
      <x:c r="B57" t="str">
        <x:v>UE017</x:v>
      </x:c>
      <x:c r="C57" t="str">
        <x:f>IFERROR(VLOOKUP(B57,Employee_Master!$A$2:$N$31,2,FALSE),"")</x:f>
        <x:v>Demo Employee 17</x:v>
      </x:c>
      <x:c r="D57" t="str">
        <x:f>IFERROR(VLOOKUP(B57,Employee_Master!$A$2:$N$31,4,FALSE),"")</x:f>
        <x:v>Estimating &amp; Planning</x:v>
      </x:c>
      <x:c r="E57" t="str">
        <x:v>Microsoft 365</x:v>
      </x:c>
      <x:c r="F57" t="str">
        <x:v>Standard User</x:v>
      </x:c>
      <x:c r="G57" t="str">
        <x:v>Core productivity</x:v>
      </x:c>
      <x:c r="H57" t="str">
        <x:v>UE003</x:v>
      </x:c>
      <x:c r="I57" s="2" t="n">
        <x:v>45862</x:v>
      </x:c>
      <x:c r="J57" s="2" t="n">
        <x:v>46446</x:v>
      </x:c>
      <x:c r="K57" t="str">
        <x:f>IF(J57&lt;TODAY(),"Overdue",IF(J57&lt;=TODAY()+30,"Due Soon","Current"))</x:f>
        <x:v>Current</x:v>
      </x:c>
      <x:c r="L57" t="str">
        <x:v>Yes</x:v>
      </x:c>
      <x:c r="M57" t="str">
        <x:f>IF(L57="No","N/A",IFERROR(VLOOKUP(B57,Employee_Master!$A$2:$N$31,11,FALSE),"Unknown"))</x:f>
        <x:v>Enabled</x:v>
      </x:c>
      <x:c r="N57" t="str">
        <x:v>Low</x:v>
      </x:c>
      <x:c r="O57" t="str">
        <x:v>OK</x:v>
      </x:c>
      <x:c r="P57" t="str"/>
    </x:row>
    <x:row r="58">
      <x:c r="A58" t="str">
        <x:v>ACC-056</x:v>
      </x:c>
      <x:c r="B58" t="str">
        <x:v>UE017</x:v>
      </x:c>
      <x:c r="C58" t="str">
        <x:f>IFERROR(VLOOKUP(B58,Employee_Master!$A$2:$N$31,2,FALSE),"")</x:f>
        <x:v>Demo Employee 17</x:v>
      </x:c>
      <x:c r="D58" t="str">
        <x:f>IFERROR(VLOOKUP(B58,Employee_Master!$A$2:$N$31,4,FALSE),"")</x:f>
        <x:v>Estimating &amp; Planning</x:v>
      </x:c>
      <x:c r="E58" t="str">
        <x:v>SharePoint - General</x:v>
      </x:c>
      <x:c r="F58" t="str">
        <x:v>Member</x:v>
      </x:c>
      <x:c r="G58" t="str">
        <x:v>Company collaboration</x:v>
      </x:c>
      <x:c r="H58" t="str">
        <x:v>UE003</x:v>
      </x:c>
      <x:c r="I58" s="2" t="n">
        <x:v>45875</x:v>
      </x:c>
      <x:c r="J58" s="2" t="n">
        <x:v>46356</x:v>
      </x:c>
      <x:c r="K58" t="str">
        <x:f>IF(J58&lt;TODAY(),"Overdue",IF(J58&lt;=TODAY()+30,"Due Soon","Current"))</x:f>
        <x:v>Current</x:v>
      </x:c>
      <x:c r="L58" t="str">
        <x:v>Yes</x:v>
      </x:c>
      <x:c r="M58" t="str">
        <x:f>IF(L58="No","N/A",IFERROR(VLOOKUP(B58,Employee_Master!$A$2:$N$31,11,FALSE),"Unknown"))</x:f>
        <x:v>Enabled</x:v>
      </x:c>
      <x:c r="N58" t="str">
        <x:v>Low</x:v>
      </x:c>
      <x:c r="O58" t="str">
        <x:v>OK</x:v>
      </x:c>
      <x:c r="P58" t="str"/>
    </x:row>
    <x:row r="59">
      <x:c r="A59" t="str">
        <x:v>ACC-057</x:v>
      </x:c>
      <x:c r="B59" t="str">
        <x:v>UE017</x:v>
      </x:c>
      <x:c r="C59" t="str">
        <x:f>IFERROR(VLOOKUP(B59,Employee_Master!$A$2:$N$31,2,FALSE),"")</x:f>
        <x:v>Demo Employee 17</x:v>
      </x:c>
      <x:c r="D59" t="str">
        <x:f>IFERROR(VLOOKUP(B59,Employee_Master!$A$2:$N$31,4,FALSE),"")</x:f>
        <x:v>Estimating &amp; Planning</x:v>
      </x:c>
      <x:c r="E59" t="str">
        <x:v>Estimating &amp; Plans SharePoint</x:v>
      </x:c>
      <x:c r="F59" t="str">
        <x:v>Member</x:v>
      </x:c>
      <x:c r="G59" t="str">
        <x:v>Plans and estimating files</x:v>
      </x:c>
      <x:c r="H59" t="str">
        <x:v>UE003</x:v>
      </x:c>
      <x:c r="I59" s="2" t="n">
        <x:v>45888</x:v>
      </x:c>
      <x:c r="J59" s="2" t="n">
        <x:v>46386</x:v>
      </x:c>
      <x:c r="K59" t="str">
        <x:f>IF(J59&lt;TODAY(),"Overdue",IF(J59&lt;=TODAY()+30,"Due Soon","Current"))</x:f>
        <x:v>Current</x:v>
      </x:c>
      <x:c r="L59" t="str">
        <x:v>Yes</x:v>
      </x:c>
      <x:c r="M59" t="str">
        <x:f>IF(L59="No","N/A",IFERROR(VLOOKUP(B59,Employee_Master!$A$2:$N$31,11,FALSE),"Unknown"))</x:f>
        <x:v>Enabled</x:v>
      </x:c>
      <x:c r="N59" t="str">
        <x:v>Medium</x:v>
      </x:c>
      <x:c r="O59" t="str">
        <x:v>OK</x:v>
      </x:c>
      <x:c r="P59" t="str"/>
    </x:row>
    <x:row r="60">
      <x:c r="A60" t="str">
        <x:v>ACC-058</x:v>
      </x:c>
      <x:c r="B60" t="str">
        <x:v>UE018</x:v>
      </x:c>
      <x:c r="C60" t="str">
        <x:f>IFERROR(VLOOKUP(B60,Employee_Master!$A$2:$N$31,2,FALSE),"")</x:f>
        <x:v>Demo Employee 18</x:v>
      </x:c>
      <x:c r="D60" t="str">
        <x:f>IFERROR(VLOOKUP(B60,Employee_Master!$A$2:$N$31,4,FALSE),"")</x:f>
        <x:v>Estimating &amp; Planning</x:v>
      </x:c>
      <x:c r="E60" t="str">
        <x:v>Microsoft 365</x:v>
      </x:c>
      <x:c r="F60" t="str">
        <x:v>Standard User</x:v>
      </x:c>
      <x:c r="G60" t="str">
        <x:v>Core productivity</x:v>
      </x:c>
      <x:c r="H60" t="str">
        <x:v>UE003</x:v>
      </x:c>
      <x:c r="I60" s="2" t="n">
        <x:v>45901</x:v>
      </x:c>
      <x:c r="J60" s="2" t="n">
        <x:v>46416</x:v>
      </x:c>
      <x:c r="K60" t="str">
        <x:f>IF(J60&lt;TODAY(),"Overdue",IF(J60&lt;=TODAY()+30,"Due Soon","Current"))</x:f>
        <x:v>Current</x:v>
      </x:c>
      <x:c r="L60" t="str">
        <x:v>Yes</x:v>
      </x:c>
      <x:c r="M60" t="str">
        <x:f>IF(L60="No","N/A",IFERROR(VLOOKUP(B60,Employee_Master!$A$2:$N$31,11,FALSE),"Unknown"))</x:f>
        <x:v>Enabled</x:v>
      </x:c>
      <x:c r="N60" t="str">
        <x:v>Low</x:v>
      </x:c>
      <x:c r="O60" t="str">
        <x:v>OK</x:v>
      </x:c>
      <x:c r="P60" t="str"/>
    </x:row>
    <x:row r="61">
      <x:c r="A61" t="str">
        <x:v>ACC-059</x:v>
      </x:c>
      <x:c r="B61" t="str">
        <x:v>UE018</x:v>
      </x:c>
      <x:c r="C61" t="str">
        <x:f>IFERROR(VLOOKUP(B61,Employee_Master!$A$2:$N$31,2,FALSE),"")</x:f>
        <x:v>Demo Employee 18</x:v>
      </x:c>
      <x:c r="D61" t="str">
        <x:f>IFERROR(VLOOKUP(B61,Employee_Master!$A$2:$N$31,4,FALSE),"")</x:f>
        <x:v>Estimating &amp; Planning</x:v>
      </x:c>
      <x:c r="E61" t="str">
        <x:v>SharePoint - General</x:v>
      </x:c>
      <x:c r="F61" t="str">
        <x:v>Member</x:v>
      </x:c>
      <x:c r="G61" t="str">
        <x:v>Company collaboration</x:v>
      </x:c>
      <x:c r="H61" t="str">
        <x:v>UE003</x:v>
      </x:c>
      <x:c r="I61" s="2" t="n">
        <x:v>45914</x:v>
      </x:c>
      <x:c r="J61" s="2" t="n">
        <x:v>46285</x:v>
      </x:c>
      <x:c r="K61" t="str">
        <x:f>IF(J61&lt;TODAY(),"Overdue",IF(J61&lt;=TODAY()+30,"Due Soon","Current"))</x:f>
        <x:v>Due Soon</x:v>
      </x:c>
      <x:c r="L61" t="str">
        <x:v>Yes</x:v>
      </x:c>
      <x:c r="M61" t="str">
        <x:f>IF(L61="No","N/A",IFERROR(VLOOKUP(B61,Employee_Master!$A$2:$N$31,11,FALSE),"Unknown"))</x:f>
        <x:v>Enabled</x:v>
      </x:c>
      <x:c r="N61" t="str">
        <x:v>Low</x:v>
      </x:c>
      <x:c r="O61" t="str">
        <x:v>OK</x:v>
      </x:c>
      <x:c r="P61" t="str"/>
    </x:row>
    <x:row r="62">
      <x:c r="A62" t="str">
        <x:v>ACC-060</x:v>
      </x:c>
      <x:c r="B62" t="str">
        <x:v>UE018</x:v>
      </x:c>
      <x:c r="C62" t="str">
        <x:f>IFERROR(VLOOKUP(B62,Employee_Master!$A$2:$N$31,2,FALSE),"")</x:f>
        <x:v>Demo Employee 18</x:v>
      </x:c>
      <x:c r="D62" t="str">
        <x:f>IFERROR(VLOOKUP(B62,Employee_Master!$A$2:$N$31,4,FALSE),"")</x:f>
        <x:v>Estimating &amp; Planning</x:v>
      </x:c>
      <x:c r="E62" t="str">
        <x:v>Estimating &amp; Plans SharePoint</x:v>
      </x:c>
      <x:c r="F62" t="str">
        <x:v>Member</x:v>
      </x:c>
      <x:c r="G62" t="str">
        <x:v>Plans and estimating files</x:v>
      </x:c>
      <x:c r="H62" t="str">
        <x:v>UE003</x:v>
      </x:c>
      <x:c r="I62" s="2" t="n">
        <x:v>45927</x:v>
      </x:c>
      <x:c r="J62" s="2" t="n">
        <x:v>46356</x:v>
      </x:c>
      <x:c r="K62" t="str">
        <x:f>IF(J62&lt;TODAY(),"Overdue",IF(J62&lt;=TODAY()+30,"Due Soon","Current"))</x:f>
        <x:v>Current</x:v>
      </x:c>
      <x:c r="L62" t="str">
        <x:v>Yes</x:v>
      </x:c>
      <x:c r="M62" t="str">
        <x:f>IF(L62="No","N/A",IFERROR(VLOOKUP(B62,Employee_Master!$A$2:$N$31,11,FALSE),"Unknown"))</x:f>
        <x:v>Enabled</x:v>
      </x:c>
      <x:c r="N62" t="str">
        <x:v>Medium</x:v>
      </x:c>
      <x:c r="O62" t="str">
        <x:v>OK</x:v>
      </x:c>
      <x:c r="P62" t="str"/>
    </x:row>
    <x:row r="63">
      <x:c r="A63" t="str">
        <x:v>ACC-061</x:v>
      </x:c>
      <x:c r="B63" t="str">
        <x:v>UE019</x:v>
      </x:c>
      <x:c r="C63" t="str">
        <x:f>IFERROR(VLOOKUP(B63,Employee_Master!$A$2:$N$31,2,FALSE),"")</x:f>
        <x:v>Demo Employee 19</x:v>
      </x:c>
      <x:c r="D63" t="str">
        <x:f>IFERROR(VLOOKUP(B63,Employee_Master!$A$2:$N$31,4,FALSE),"")</x:f>
        <x:v>Estimating &amp; Planning</x:v>
      </x:c>
      <x:c r="E63" t="str">
        <x:v>Microsoft 365</x:v>
      </x:c>
      <x:c r="F63" t="str">
        <x:v>Standard User</x:v>
      </x:c>
      <x:c r="G63" t="str">
        <x:v>Core productivity</x:v>
      </x:c>
      <x:c r="H63" t="str">
        <x:v>UE003</x:v>
      </x:c>
      <x:c r="I63" s="2" t="n">
        <x:v>45940</x:v>
      </x:c>
      <x:c r="J63" s="2" t="n">
        <x:v>46386</x:v>
      </x:c>
      <x:c r="K63" t="str">
        <x:f>IF(J63&lt;TODAY(),"Overdue",IF(J63&lt;=TODAY()+30,"Due Soon","Current"))</x:f>
        <x:v>Current</x:v>
      </x:c>
      <x:c r="L63" t="str">
        <x:v>Yes</x:v>
      </x:c>
      <x:c r="M63" t="str">
        <x:f>IF(L63="No","N/A",IFERROR(VLOOKUP(B63,Employee_Master!$A$2:$N$31,11,FALSE),"Unknown"))</x:f>
        <x:v>Enabled</x:v>
      </x:c>
      <x:c r="N63" t="str">
        <x:v>Low</x:v>
      </x:c>
      <x:c r="O63" t="str">
        <x:v>OK</x:v>
      </x:c>
      <x:c r="P63" t="str"/>
    </x:row>
    <x:row r="64">
      <x:c r="A64" t="str">
        <x:v>ACC-062</x:v>
      </x:c>
      <x:c r="B64" t="str">
        <x:v>UE019</x:v>
      </x:c>
      <x:c r="C64" t="str">
        <x:f>IFERROR(VLOOKUP(B64,Employee_Master!$A$2:$N$31,2,FALSE),"")</x:f>
        <x:v>Demo Employee 19</x:v>
      </x:c>
      <x:c r="D64" t="str">
        <x:f>IFERROR(VLOOKUP(B64,Employee_Master!$A$2:$N$31,4,FALSE),"")</x:f>
        <x:v>Estimating &amp; Planning</x:v>
      </x:c>
      <x:c r="E64" t="str">
        <x:v>SharePoint - General</x:v>
      </x:c>
      <x:c r="F64" t="str">
        <x:v>Member</x:v>
      </x:c>
      <x:c r="G64" t="str">
        <x:v>Company collaboration</x:v>
      </x:c>
      <x:c r="H64" t="str">
        <x:v>UE003</x:v>
      </x:c>
      <x:c r="I64" s="2" t="n">
        <x:v>45953</x:v>
      </x:c>
      <x:c r="J64" s="2" t="n">
        <x:v>46416</x:v>
      </x:c>
      <x:c r="K64" t="str">
        <x:f>IF(J64&lt;TODAY(),"Overdue",IF(J64&lt;=TODAY()+30,"Due Soon","Current"))</x:f>
        <x:v>Current</x:v>
      </x:c>
      <x:c r="L64" t="str">
        <x:v>Yes</x:v>
      </x:c>
      <x:c r="M64" t="str">
        <x:f>IF(L64="No","N/A",IFERROR(VLOOKUP(B64,Employee_Master!$A$2:$N$31,11,FALSE),"Unknown"))</x:f>
        <x:v>Enabled</x:v>
      </x:c>
      <x:c r="N64" t="str">
        <x:v>Low</x:v>
      </x:c>
      <x:c r="O64" t="str">
        <x:v>OK</x:v>
      </x:c>
      <x:c r="P64" t="str"/>
    </x:row>
    <x:row r="65">
      <x:c r="A65" t="str">
        <x:v>ACC-063</x:v>
      </x:c>
      <x:c r="B65" t="str">
        <x:v>UE019</x:v>
      </x:c>
      <x:c r="C65" t="str">
        <x:f>IFERROR(VLOOKUP(B65,Employee_Master!$A$2:$N$31,2,FALSE),"")</x:f>
        <x:v>Demo Employee 19</x:v>
      </x:c>
      <x:c r="D65" t="str">
        <x:f>IFERROR(VLOOKUP(B65,Employee_Master!$A$2:$N$31,4,FALSE),"")</x:f>
        <x:v>Estimating &amp; Planning</x:v>
      </x:c>
      <x:c r="E65" t="str">
        <x:v>Estimating &amp; Plans SharePoint</x:v>
      </x:c>
      <x:c r="F65" t="str">
        <x:v>Member</x:v>
      </x:c>
      <x:c r="G65" t="str">
        <x:v>Plans and estimating files</x:v>
      </x:c>
      <x:c r="H65" t="str">
        <x:v>UE003</x:v>
      </x:c>
      <x:c r="I65" s="2" t="n">
        <x:v>45966</x:v>
      </x:c>
      <x:c r="J65" s="2" t="n">
        <x:v>46254</x:v>
      </x:c>
      <x:c r="K65" t="str">
        <x:f>IF(J65&lt;TODAY(),"Overdue",IF(J65&lt;=TODAY()+30,"Due Soon","Current"))</x:f>
        <x:v>Overdue</x:v>
      </x:c>
      <x:c r="L65" t="str">
        <x:v>Yes</x:v>
      </x:c>
      <x:c r="M65" t="str">
        <x:f>IF(L65="No","N/A",IFERROR(VLOOKUP(B65,Employee_Master!$A$2:$N$31,11,FALSE),"Unknown"))</x:f>
        <x:v>Enabled</x:v>
      </x:c>
      <x:c r="N65" t="str">
        <x:v>Medium</x:v>
      </x:c>
      <x:c r="O65" t="str">
        <x:v>Review</x:v>
      </x:c>
      <x:c r="P65" t="str">
        <x:v>Demo exception included for access-review analysis</x:v>
      </x:c>
    </x:row>
    <x:row r="66">
      <x:c r="A66" t="str">
        <x:v>ACC-064</x:v>
      </x:c>
      <x:c r="B66" t="str">
        <x:v>UE020</x:v>
      </x:c>
      <x:c r="C66" t="str">
        <x:f>IFERROR(VLOOKUP(B66,Employee_Master!$A$2:$N$31,2,FALSE),"")</x:f>
        <x:v>Demo Employee 20</x:v>
      </x:c>
      <x:c r="D66" t="str">
        <x:f>IFERROR(VLOOKUP(B66,Employee_Master!$A$2:$N$31,4,FALSE),"")</x:f>
        <x:v>Construction &amp; Project Management</x:v>
      </x:c>
      <x:c r="E66" t="str">
        <x:v>Microsoft 365</x:v>
      </x:c>
      <x:c r="F66" t="str">
        <x:v>Standard User</x:v>
      </x:c>
      <x:c r="G66" t="str">
        <x:v>Core productivity</x:v>
      </x:c>
      <x:c r="H66" t="str">
        <x:v>UE003</x:v>
      </x:c>
      <x:c r="I66" s="2" t="n">
        <x:v>45979</x:v>
      </x:c>
      <x:c r="J66" s="2" t="n">
        <x:v>46356</x:v>
      </x:c>
      <x:c r="K66" t="str">
        <x:f>IF(J66&lt;TODAY(),"Overdue",IF(J66&lt;=TODAY()+30,"Due Soon","Current"))</x:f>
        <x:v>Current</x:v>
      </x:c>
      <x:c r="L66" t="str">
        <x:v>Yes</x:v>
      </x:c>
      <x:c r="M66" t="str">
        <x:f>IF(L66="No","N/A",IFERROR(VLOOKUP(B66,Employee_Master!$A$2:$N$31,11,FALSE),"Unknown"))</x:f>
        <x:v>Enabled</x:v>
      </x:c>
      <x:c r="N66" t="str">
        <x:v>Low</x:v>
      </x:c>
      <x:c r="O66" t="str">
        <x:v>OK</x:v>
      </x:c>
      <x:c r="P66" t="str"/>
    </x:row>
    <x:row r="67">
      <x:c r="A67" t="str">
        <x:v>ACC-065</x:v>
      </x:c>
      <x:c r="B67" t="str">
        <x:v>UE020</x:v>
      </x:c>
      <x:c r="C67" t="str">
        <x:f>IFERROR(VLOOKUP(B67,Employee_Master!$A$2:$N$31,2,FALSE),"")</x:f>
        <x:v>Demo Employee 20</x:v>
      </x:c>
      <x:c r="D67" t="str">
        <x:f>IFERROR(VLOOKUP(B67,Employee_Master!$A$2:$N$31,4,FALSE),"")</x:f>
        <x:v>Construction &amp; Project Management</x:v>
      </x:c>
      <x:c r="E67" t="str">
        <x:v>SharePoint - General</x:v>
      </x:c>
      <x:c r="F67" t="str">
        <x:v>Member</x:v>
      </x:c>
      <x:c r="G67" t="str">
        <x:v>Company collaboration</x:v>
      </x:c>
      <x:c r="H67" t="str">
        <x:v>UE003</x:v>
      </x:c>
      <x:c r="I67" s="2" t="n">
        <x:v>45992</x:v>
      </x:c>
      <x:c r="J67" s="2" t="n">
        <x:v>46386</x:v>
      </x:c>
      <x:c r="K67" t="str">
        <x:f>IF(J67&lt;TODAY(),"Overdue",IF(J67&lt;=TODAY()+30,"Due Soon","Current"))</x:f>
        <x:v>Current</x:v>
      </x:c>
      <x:c r="L67" t="str">
        <x:v>Yes</x:v>
      </x:c>
      <x:c r="M67" t="str">
        <x:f>IF(L67="No","N/A",IFERROR(VLOOKUP(B67,Employee_Master!$A$2:$N$31,11,FALSE),"Unknown"))</x:f>
        <x:v>Enabled</x:v>
      </x:c>
      <x:c r="N67" t="str">
        <x:v>Low</x:v>
      </x:c>
      <x:c r="O67" t="str">
        <x:v>OK</x:v>
      </x:c>
      <x:c r="P67" t="str"/>
    </x:row>
    <x:row r="68">
      <x:c r="A68" t="str">
        <x:v>ACC-066</x:v>
      </x:c>
      <x:c r="B68" t="str">
        <x:v>UE020</x:v>
      </x:c>
      <x:c r="C68" t="str">
        <x:f>IFERROR(VLOOKUP(B68,Employee_Master!$A$2:$N$31,2,FALSE),"")</x:f>
        <x:v>Demo Employee 20</x:v>
      </x:c>
      <x:c r="D68" t="str">
        <x:f>IFERROR(VLOOKUP(B68,Employee_Master!$A$2:$N$31,4,FALSE),"")</x:f>
        <x:v>Construction &amp; Project Management</x:v>
      </x:c>
      <x:c r="E68" t="str">
        <x:v>Construction SharePoint</x:v>
      </x:c>
      <x:c r="F68" t="str">
        <x:v>Project Member</x:v>
      </x:c>
      <x:c r="G68" t="str">
        <x:v>Construction project delivery</x:v>
      </x:c>
      <x:c r="H68" t="str">
        <x:v>UE003</x:v>
      </x:c>
      <x:c r="I68" s="2" t="n">
        <x:v>46005</x:v>
      </x:c>
      <x:c r="J68" s="2" t="n">
        <x:v>46416</x:v>
      </x:c>
      <x:c r="K68" t="str">
        <x:f>IF(J68&lt;TODAY(),"Overdue",IF(J68&lt;=TODAY()+30,"Due Soon","Current"))</x:f>
        <x:v>Current</x:v>
      </x:c>
      <x:c r="L68" t="str">
        <x:v>Yes</x:v>
      </x:c>
      <x:c r="M68" t="str">
        <x:f>IF(L68="No","N/A",IFERROR(VLOOKUP(B68,Employee_Master!$A$2:$N$31,11,FALSE),"Unknown"))</x:f>
        <x:v>Enabled</x:v>
      </x:c>
      <x:c r="N68" t="str">
        <x:v>Medium</x:v>
      </x:c>
      <x:c r="O68" t="str">
        <x:v>OK</x:v>
      </x:c>
      <x:c r="P68" t="str"/>
    </x:row>
    <x:row r="69">
      <x:c r="A69" t="str">
        <x:v>ACC-067</x:v>
      </x:c>
      <x:c r="B69" t="str">
        <x:v>UE021</x:v>
      </x:c>
      <x:c r="C69" t="str">
        <x:f>IFERROR(VLOOKUP(B69,Employee_Master!$A$2:$N$31,2,FALSE),"")</x:f>
        <x:v>Demo Employee 21</x:v>
      </x:c>
      <x:c r="D69" t="str">
        <x:f>IFERROR(VLOOKUP(B69,Employee_Master!$A$2:$N$31,4,FALSE),"")</x:f>
        <x:v>Construction &amp; Project Management</x:v>
      </x:c>
      <x:c r="E69" t="str">
        <x:v>Microsoft 365</x:v>
      </x:c>
      <x:c r="F69" t="str">
        <x:v>Standard User</x:v>
      </x:c>
      <x:c r="G69" t="str">
        <x:v>Core productivity</x:v>
      </x:c>
      <x:c r="H69" t="str">
        <x:v>UE003</x:v>
      </x:c>
      <x:c r="I69" s="2" t="n">
        <x:v>46018</x:v>
      </x:c>
      <x:c r="J69" s="2" t="n">
        <x:v>46446</x:v>
      </x:c>
      <x:c r="K69" t="str">
        <x:f>IF(J69&lt;TODAY(),"Overdue",IF(J69&lt;=TODAY()+30,"Due Soon","Current"))</x:f>
        <x:v>Current</x:v>
      </x:c>
      <x:c r="L69" t="str">
        <x:v>Yes</x:v>
      </x:c>
      <x:c r="M69" t="str">
        <x:f>IF(L69="No","N/A",IFERROR(VLOOKUP(B69,Employee_Master!$A$2:$N$31,11,FALSE),"Unknown"))</x:f>
        <x:v>Enabled</x:v>
      </x:c>
      <x:c r="N69" t="str">
        <x:v>Low</x:v>
      </x:c>
      <x:c r="O69" t="str">
        <x:v>OK</x:v>
      </x:c>
      <x:c r="P69" t="str"/>
    </x:row>
    <x:row r="70">
      <x:c r="A70" t="str">
        <x:v>ACC-068</x:v>
      </x:c>
      <x:c r="B70" t="str">
        <x:v>UE021</x:v>
      </x:c>
      <x:c r="C70" t="str">
        <x:f>IFERROR(VLOOKUP(B70,Employee_Master!$A$2:$N$31,2,FALSE),"")</x:f>
        <x:v>Demo Employee 21</x:v>
      </x:c>
      <x:c r="D70" t="str">
        <x:f>IFERROR(VLOOKUP(B70,Employee_Master!$A$2:$N$31,4,FALSE),"")</x:f>
        <x:v>Construction &amp; Project Management</x:v>
      </x:c>
      <x:c r="E70" t="str">
        <x:v>SharePoint - General</x:v>
      </x:c>
      <x:c r="F70" t="str">
        <x:v>Member</x:v>
      </x:c>
      <x:c r="G70" t="str">
        <x:v>Company collaboration</x:v>
      </x:c>
      <x:c r="H70" t="str">
        <x:v>UE003</x:v>
      </x:c>
      <x:c r="I70" s="2" t="n">
        <x:v>46031</x:v>
      </x:c>
      <x:c r="J70" s="2" t="n">
        <x:v>46356</x:v>
      </x:c>
      <x:c r="K70" t="str">
        <x:f>IF(J70&lt;TODAY(),"Overdue",IF(J70&lt;=TODAY()+30,"Due Soon","Current"))</x:f>
        <x:v>Current</x:v>
      </x:c>
      <x:c r="L70" t="str">
        <x:v>Yes</x:v>
      </x:c>
      <x:c r="M70" t="str">
        <x:f>IF(L70="No","N/A",IFERROR(VLOOKUP(B70,Employee_Master!$A$2:$N$31,11,FALSE),"Unknown"))</x:f>
        <x:v>Enabled</x:v>
      </x:c>
      <x:c r="N70" t="str">
        <x:v>Low</x:v>
      </x:c>
      <x:c r="O70" t="str">
        <x:v>OK</x:v>
      </x:c>
      <x:c r="P70" t="str"/>
    </x:row>
    <x:row r="71">
      <x:c r="A71" t="str">
        <x:v>ACC-069</x:v>
      </x:c>
      <x:c r="B71" t="str">
        <x:v>UE021</x:v>
      </x:c>
      <x:c r="C71" t="str">
        <x:f>IFERROR(VLOOKUP(B71,Employee_Master!$A$2:$N$31,2,FALSE),"")</x:f>
        <x:v>Demo Employee 21</x:v>
      </x:c>
      <x:c r="D71" t="str">
        <x:f>IFERROR(VLOOKUP(B71,Employee_Master!$A$2:$N$31,4,FALSE),"")</x:f>
        <x:v>Construction &amp; Project Management</x:v>
      </x:c>
      <x:c r="E71" t="str">
        <x:v>Project Folder - Prospect</x:v>
      </x:c>
      <x:c r="F71" t="str">
        <x:v>Project Member</x:v>
      </x:c>
      <x:c r="G71" t="str">
        <x:v>Construction project delivery</x:v>
      </x:c>
      <x:c r="H71" t="str">
        <x:v>UE003</x:v>
      </x:c>
      <x:c r="I71" s="2" t="n">
        <x:v>46044</x:v>
      </x:c>
      <x:c r="J71" s="2" t="n">
        <x:v>46386</x:v>
      </x:c>
      <x:c r="K71" t="str">
        <x:f>IF(J71&lt;TODAY(),"Overdue",IF(J71&lt;=TODAY()+30,"Due Soon","Current"))</x:f>
        <x:v>Current</x:v>
      </x:c>
      <x:c r="L71" t="str">
        <x:v>Yes</x:v>
      </x:c>
      <x:c r="M71" t="str">
        <x:f>IF(L71="No","N/A",IFERROR(VLOOKUP(B71,Employee_Master!$A$2:$N$31,11,FALSE),"Unknown"))</x:f>
        <x:v>Enabled</x:v>
      </x:c>
      <x:c r="N71" t="str">
        <x:v>Medium</x:v>
      </x:c>
      <x:c r="O71" t="str">
        <x:v>OK</x:v>
      </x:c>
      <x:c r="P71" t="str"/>
    </x:row>
    <x:row r="72">
      <x:c r="A72" t="str">
        <x:v>ACC-070</x:v>
      </x:c>
      <x:c r="B72" t="str">
        <x:v>UE022</x:v>
      </x:c>
      <x:c r="C72" t="str">
        <x:f>IFERROR(VLOOKUP(B72,Employee_Master!$A$2:$N$31,2,FALSE),"")</x:f>
        <x:v>Demo Employee 22</x:v>
      </x:c>
      <x:c r="D72" t="str">
        <x:f>IFERROR(VLOOKUP(B72,Employee_Master!$A$2:$N$31,4,FALSE),"")</x:f>
        <x:v>Construction &amp; Project Management</x:v>
      </x:c>
      <x:c r="E72" t="str">
        <x:v>Microsoft 365</x:v>
      </x:c>
      <x:c r="F72" t="str">
        <x:v>Standard User</x:v>
      </x:c>
      <x:c r="G72" t="str">
        <x:v>Core productivity</x:v>
      </x:c>
      <x:c r="H72" t="str">
        <x:v>UE003</x:v>
      </x:c>
      <x:c r="I72" s="2" t="n">
        <x:v>46057</x:v>
      </x:c>
      <x:c r="J72" s="2" t="n">
        <x:v>46416</x:v>
      </x:c>
      <x:c r="K72" t="str">
        <x:f>IF(J72&lt;TODAY(),"Overdue",IF(J72&lt;=TODAY()+30,"Due Soon","Current"))</x:f>
        <x:v>Current</x:v>
      </x:c>
      <x:c r="L72" t="str">
        <x:v>Yes</x:v>
      </x:c>
      <x:c r="M72" t="str">
        <x:f>IF(L72="No","N/A",IFERROR(VLOOKUP(B72,Employee_Master!$A$2:$N$31,11,FALSE),"Unknown"))</x:f>
        <x:v>Enabled</x:v>
      </x:c>
      <x:c r="N72" t="str">
        <x:v>Low</x:v>
      </x:c>
      <x:c r="O72" t="str">
        <x:v>OK</x:v>
      </x:c>
      <x:c r="P72" t="str"/>
    </x:row>
    <x:row r="73">
      <x:c r="A73" t="str">
        <x:v>ACC-071</x:v>
      </x:c>
      <x:c r="B73" t="str">
        <x:v>UE022</x:v>
      </x:c>
      <x:c r="C73" t="str">
        <x:f>IFERROR(VLOOKUP(B73,Employee_Master!$A$2:$N$31,2,FALSE),"")</x:f>
        <x:v>Demo Employee 22</x:v>
      </x:c>
      <x:c r="D73" t="str">
        <x:f>IFERROR(VLOOKUP(B73,Employee_Master!$A$2:$N$31,4,FALSE),"")</x:f>
        <x:v>Construction &amp; Project Management</x:v>
      </x:c>
      <x:c r="E73" t="str">
        <x:v>SharePoint - General</x:v>
      </x:c>
      <x:c r="F73" t="str">
        <x:v>Member</x:v>
      </x:c>
      <x:c r="G73" t="str">
        <x:v>Company collaboration</x:v>
      </x:c>
      <x:c r="H73" t="str">
        <x:v>UE003</x:v>
      </x:c>
      <x:c r="I73" s="2" t="n">
        <x:v>46070</x:v>
      </x:c>
      <x:c r="J73" s="2" t="n">
        <x:v>46446</x:v>
      </x:c>
      <x:c r="K73" t="str">
        <x:f>IF(J73&lt;TODAY(),"Overdue",IF(J73&lt;=TODAY()+30,"Due Soon","Current"))</x:f>
        <x:v>Current</x:v>
      </x:c>
      <x:c r="L73" t="str">
        <x:v>Yes</x:v>
      </x:c>
      <x:c r="M73" t="str">
        <x:f>IF(L73="No","N/A",IFERROR(VLOOKUP(B73,Employee_Master!$A$2:$N$31,11,FALSE),"Unknown"))</x:f>
        <x:v>Enabled</x:v>
      </x:c>
      <x:c r="N73" t="str">
        <x:v>Low</x:v>
      </x:c>
      <x:c r="O73" t="str">
        <x:v>OK</x:v>
      </x:c>
      <x:c r="P73" t="str"/>
    </x:row>
    <x:row r="74">
      <x:c r="A74" t="str">
        <x:v>ACC-072</x:v>
      </x:c>
      <x:c r="B74" t="str">
        <x:v>UE022</x:v>
      </x:c>
      <x:c r="C74" t="str">
        <x:f>IFERROR(VLOOKUP(B74,Employee_Master!$A$2:$N$31,2,FALSE),"")</x:f>
        <x:v>Demo Employee 22</x:v>
      </x:c>
      <x:c r="D74" t="str">
        <x:f>IFERROR(VLOOKUP(B74,Employee_Master!$A$2:$N$31,4,FALSE),"")</x:f>
        <x:v>Construction &amp; Project Management</x:v>
      </x:c>
      <x:c r="E74" t="str">
        <x:v>Project Folder - Para Hills</x:v>
      </x:c>
      <x:c r="F74" t="str">
        <x:v>Project Member</x:v>
      </x:c>
      <x:c r="G74" t="str">
        <x:v>Construction project delivery</x:v>
      </x:c>
      <x:c r="H74" t="str">
        <x:v>UE003</x:v>
      </x:c>
      <x:c r="I74" s="2" t="n">
        <x:v>46083</x:v>
      </x:c>
      <x:c r="J74" s="2" t="n">
        <x:v>46356</x:v>
      </x:c>
      <x:c r="K74" t="str">
        <x:f>IF(J74&lt;TODAY(),"Overdue",IF(J74&lt;=TODAY()+30,"Due Soon","Current"))</x:f>
        <x:v>Current</x:v>
      </x:c>
      <x:c r="L74" t="str">
        <x:v>Yes</x:v>
      </x:c>
      <x:c r="M74" t="str">
        <x:f>IF(L74="No","N/A",IFERROR(VLOOKUP(B74,Employee_Master!$A$2:$N$31,11,FALSE),"Unknown"))</x:f>
        <x:v>Enabled</x:v>
      </x:c>
      <x:c r="N74" t="str">
        <x:v>Medium</x:v>
      </x:c>
      <x:c r="O74" t="str">
        <x:v>OK</x:v>
      </x:c>
      <x:c r="P74" t="str"/>
    </x:row>
    <x:row r="75">
      <x:c r="A75" t="str">
        <x:v>ACC-073</x:v>
      </x:c>
      <x:c r="B75" t="str">
        <x:v>UE023</x:v>
      </x:c>
      <x:c r="C75" t="str">
        <x:f>IFERROR(VLOOKUP(B75,Employee_Master!$A$2:$N$31,2,FALSE),"")</x:f>
        <x:v>Demo Employee 23</x:v>
      </x:c>
      <x:c r="D75" t="str">
        <x:f>IFERROR(VLOOKUP(B75,Employee_Master!$A$2:$N$31,4,FALSE),"")</x:f>
        <x:v>Construction &amp; Project Management</x:v>
      </x:c>
      <x:c r="E75" t="str">
        <x:v>Microsoft 365</x:v>
      </x:c>
      <x:c r="F75" t="str">
        <x:v>Standard User</x:v>
      </x:c>
      <x:c r="G75" t="str">
        <x:v>Core productivity</x:v>
      </x:c>
      <x:c r="H75" t="str">
        <x:v>UE003</x:v>
      </x:c>
      <x:c r="I75" s="2" t="n">
        <x:v>46096</x:v>
      </x:c>
      <x:c r="J75" s="2" t="n">
        <x:v>46386</x:v>
      </x:c>
      <x:c r="K75" t="str">
        <x:f>IF(J75&lt;TODAY(),"Overdue",IF(J75&lt;=TODAY()+30,"Due Soon","Current"))</x:f>
        <x:v>Current</x:v>
      </x:c>
      <x:c r="L75" t="str">
        <x:v>Yes</x:v>
      </x:c>
      <x:c r="M75" t="str">
        <x:f>IF(L75="No","N/A",IFERROR(VLOOKUP(B75,Employee_Master!$A$2:$N$31,11,FALSE),"Unknown"))</x:f>
        <x:v>Enabled</x:v>
      </x:c>
      <x:c r="N75" t="str">
        <x:v>Low</x:v>
      </x:c>
      <x:c r="O75" t="str">
        <x:v>OK</x:v>
      </x:c>
      <x:c r="P75" t="str"/>
    </x:row>
    <x:row r="76">
      <x:c r="A76" t="str">
        <x:v>ACC-074</x:v>
      </x:c>
      <x:c r="B76" t="str">
        <x:v>UE023</x:v>
      </x:c>
      <x:c r="C76" t="str">
        <x:f>IFERROR(VLOOKUP(B76,Employee_Master!$A$2:$N$31,2,FALSE),"")</x:f>
        <x:v>Demo Employee 23</x:v>
      </x:c>
      <x:c r="D76" t="str">
        <x:f>IFERROR(VLOOKUP(B76,Employee_Master!$A$2:$N$31,4,FALSE),"")</x:f>
        <x:v>Construction &amp; Project Management</x:v>
      </x:c>
      <x:c r="E76" t="str">
        <x:v>SharePoint - General</x:v>
      </x:c>
      <x:c r="F76" t="str">
        <x:v>Member</x:v>
      </x:c>
      <x:c r="G76" t="str">
        <x:v>Company collaboration</x:v>
      </x:c>
      <x:c r="H76" t="str">
        <x:v>UE003</x:v>
      </x:c>
      <x:c r="I76" s="2" t="n">
        <x:v>46109</x:v>
      </x:c>
      <x:c r="J76" s="2" t="n">
        <x:v>46416</x:v>
      </x:c>
      <x:c r="K76" t="str">
        <x:f>IF(J76&lt;TODAY(),"Overdue",IF(J76&lt;=TODAY()+30,"Due Soon","Current"))</x:f>
        <x:v>Current</x:v>
      </x:c>
      <x:c r="L76" t="str">
        <x:v>Yes</x:v>
      </x:c>
      <x:c r="M76" t="str">
        <x:f>IF(L76="No","N/A",IFERROR(VLOOKUP(B76,Employee_Master!$A$2:$N$31,11,FALSE),"Unknown"))</x:f>
        <x:v>Enabled</x:v>
      </x:c>
      <x:c r="N76" t="str">
        <x:v>Low</x:v>
      </x:c>
      <x:c r="O76" t="str">
        <x:v>OK</x:v>
      </x:c>
      <x:c r="P76" t="str"/>
    </x:row>
    <x:row r="77">
      <x:c r="A77" t="str">
        <x:v>ACC-075</x:v>
      </x:c>
      <x:c r="B77" t="str">
        <x:v>UE023</x:v>
      </x:c>
      <x:c r="C77" t="str">
        <x:f>IFERROR(VLOOKUP(B77,Employee_Master!$A$2:$N$31,2,FALSE),"")</x:f>
        <x:v>Demo Employee 23</x:v>
      </x:c>
      <x:c r="D77" t="str">
        <x:f>IFERROR(VLOOKUP(B77,Employee_Master!$A$2:$N$31,4,FALSE),"")</x:f>
        <x:v>Construction &amp; Project Management</x:v>
      </x:c>
      <x:c r="E77" t="str">
        <x:v>Project Folder - Prospect</x:v>
      </x:c>
      <x:c r="F77" t="str">
        <x:v>Project Member</x:v>
      </x:c>
      <x:c r="G77" t="str">
        <x:v>Construction project delivery</x:v>
      </x:c>
      <x:c r="H77" t="str">
        <x:v>UE003</x:v>
      </x:c>
      <x:c r="I77" s="2" t="n">
        <x:v>46122</x:v>
      </x:c>
      <x:c r="J77" s="2" t="n">
        <x:v>46446</x:v>
      </x:c>
      <x:c r="K77" t="str">
        <x:f>IF(J77&lt;TODAY(),"Overdue",IF(J77&lt;=TODAY()+30,"Due Soon","Current"))</x:f>
        <x:v>Current</x:v>
      </x:c>
      <x:c r="L77" t="str">
        <x:v>Yes</x:v>
      </x:c>
      <x:c r="M77" t="str">
        <x:f>IF(L77="No","N/A",IFERROR(VLOOKUP(B77,Employee_Master!$A$2:$N$31,11,FALSE),"Unknown"))</x:f>
        <x:v>Enabled</x:v>
      </x:c>
      <x:c r="N77" t="str">
        <x:v>Medium</x:v>
      </x:c>
      <x:c r="O77" t="str">
        <x:v>OK</x:v>
      </x:c>
      <x:c r="P77" t="str"/>
    </x:row>
    <x:row r="78">
      <x:c r="A78" t="str">
        <x:v>ACC-076</x:v>
      </x:c>
      <x:c r="B78" t="str">
        <x:v>UE024</x:v>
      </x:c>
      <x:c r="C78" t="str">
        <x:f>IFERROR(VLOOKUP(B78,Employee_Master!$A$2:$N$31,2,FALSE),"")</x:f>
        <x:v>Demo Employee 24</x:v>
      </x:c>
      <x:c r="D78" t="str">
        <x:f>IFERROR(VLOOKUP(B78,Employee_Master!$A$2:$N$31,4,FALSE),"")</x:f>
        <x:v>Construction &amp; Project Management</x:v>
      </x:c>
      <x:c r="E78" t="str">
        <x:v>Microsoft 365</x:v>
      </x:c>
      <x:c r="F78" t="str">
        <x:v>Standard User</x:v>
      </x:c>
      <x:c r="G78" t="str">
        <x:v>Core productivity</x:v>
      </x:c>
      <x:c r="H78" t="str">
        <x:v>UE003</x:v>
      </x:c>
      <x:c r="I78" s="2" t="n">
        <x:v>46135</x:v>
      </x:c>
      <x:c r="J78" s="2" t="n">
        <x:v>46356</x:v>
      </x:c>
      <x:c r="K78" t="str">
        <x:f>IF(J78&lt;TODAY(),"Overdue",IF(J78&lt;=TODAY()+30,"Due Soon","Current"))</x:f>
        <x:v>Current</x:v>
      </x:c>
      <x:c r="L78" t="str">
        <x:v>Yes</x:v>
      </x:c>
      <x:c r="M78" t="str">
        <x:f>IF(L78="No","N/A",IFERROR(VLOOKUP(B78,Employee_Master!$A$2:$N$31,11,FALSE),"Unknown"))</x:f>
        <x:v>Enabled</x:v>
      </x:c>
      <x:c r="N78" t="str">
        <x:v>Low</x:v>
      </x:c>
      <x:c r="O78" t="str">
        <x:v>OK</x:v>
      </x:c>
      <x:c r="P78" t="str"/>
    </x:row>
    <x:row r="79">
      <x:c r="A79" t="str">
        <x:v>ACC-077</x:v>
      </x:c>
      <x:c r="B79" t="str">
        <x:v>UE024</x:v>
      </x:c>
      <x:c r="C79" t="str">
        <x:f>IFERROR(VLOOKUP(B79,Employee_Master!$A$2:$N$31,2,FALSE),"")</x:f>
        <x:v>Demo Employee 24</x:v>
      </x:c>
      <x:c r="D79" t="str">
        <x:f>IFERROR(VLOOKUP(B79,Employee_Master!$A$2:$N$31,4,FALSE),"")</x:f>
        <x:v>Construction &amp; Project Management</x:v>
      </x:c>
      <x:c r="E79" t="str">
        <x:v>SharePoint - General</x:v>
      </x:c>
      <x:c r="F79" t="str">
        <x:v>Member</x:v>
      </x:c>
      <x:c r="G79" t="str">
        <x:v>Company collaboration</x:v>
      </x:c>
      <x:c r="H79" t="str">
        <x:v>UE003</x:v>
      </x:c>
      <x:c r="I79" s="2" t="n">
        <x:v>46148</x:v>
      </x:c>
      <x:c r="J79" s="2" t="n">
        <x:v>46386</x:v>
      </x:c>
      <x:c r="K79" t="str">
        <x:f>IF(J79&lt;TODAY(),"Overdue",IF(J79&lt;=TODAY()+30,"Due Soon","Current"))</x:f>
        <x:v>Current</x:v>
      </x:c>
      <x:c r="L79" t="str">
        <x:v>Yes</x:v>
      </x:c>
      <x:c r="M79" t="str">
        <x:f>IF(L79="No","N/A",IFERROR(VLOOKUP(B79,Employee_Master!$A$2:$N$31,11,FALSE),"Unknown"))</x:f>
        <x:v>Enabled</x:v>
      </x:c>
      <x:c r="N79" t="str">
        <x:v>Low</x:v>
      </x:c>
      <x:c r="O79" t="str">
        <x:v>OK</x:v>
      </x:c>
      <x:c r="P79" t="str"/>
    </x:row>
    <x:row r="80">
      <x:c r="A80" t="str">
        <x:v>ACC-078</x:v>
      </x:c>
      <x:c r="B80" t="str">
        <x:v>UE024</x:v>
      </x:c>
      <x:c r="C80" t="str">
        <x:f>IFERROR(VLOOKUP(B80,Employee_Master!$A$2:$N$31,2,FALSE),"")</x:f>
        <x:v>Demo Employee 24</x:v>
      </x:c>
      <x:c r="D80" t="str">
        <x:f>IFERROR(VLOOKUP(B80,Employee_Master!$A$2:$N$31,4,FALSE),"")</x:f>
        <x:v>Construction &amp; Project Management</x:v>
      </x:c>
      <x:c r="E80" t="str">
        <x:v>Project Folder - Para Hills</x:v>
      </x:c>
      <x:c r="F80" t="str">
        <x:v>Project Member</x:v>
      </x:c>
      <x:c r="G80" t="str">
        <x:v>Construction project delivery</x:v>
      </x:c>
      <x:c r="H80" t="str">
        <x:v>UE003</x:v>
      </x:c>
      <x:c r="I80" s="2" t="n">
        <x:v>46161</x:v>
      </x:c>
      <x:c r="J80" s="2" t="n">
        <x:v>46416</x:v>
      </x:c>
      <x:c r="K80" t="str">
        <x:f>IF(J80&lt;TODAY(),"Overdue",IF(J80&lt;=TODAY()+30,"Due Soon","Current"))</x:f>
        <x:v>Current</x:v>
      </x:c>
      <x:c r="L80" t="str">
        <x:v>Yes</x:v>
      </x:c>
      <x:c r="M80" t="str">
        <x:f>IF(L80="No","N/A",IFERROR(VLOOKUP(B80,Employee_Master!$A$2:$N$31,11,FALSE),"Unknown"))</x:f>
        <x:v>Enabled</x:v>
      </x:c>
      <x:c r="N80" t="str">
        <x:v>Medium</x:v>
      </x:c>
      <x:c r="O80" t="str">
        <x:v>OK</x:v>
      </x:c>
      <x:c r="P80" t="str"/>
    </x:row>
    <x:row r="81">
      <x:c r="A81" t="str">
        <x:v>ACC-079</x:v>
      </x:c>
      <x:c r="B81" t="str">
        <x:v>UE025</x:v>
      </x:c>
      <x:c r="C81" t="str">
        <x:f>IFERROR(VLOOKUP(B81,Employee_Master!$A$2:$N$31,2,FALSE),"")</x:f>
        <x:v>Demo Employee 25</x:v>
      </x:c>
      <x:c r="D81" t="str">
        <x:f>IFERROR(VLOOKUP(B81,Employee_Master!$A$2:$N$31,4,FALSE),"")</x:f>
        <x:v>Construction &amp; Project Management</x:v>
      </x:c>
      <x:c r="E81" t="str">
        <x:v>Microsoft 365</x:v>
      </x:c>
      <x:c r="F81" t="str">
        <x:v>Standard User</x:v>
      </x:c>
      <x:c r="G81" t="str">
        <x:v>Core productivity</x:v>
      </x:c>
      <x:c r="H81" t="str">
        <x:v>UE003</x:v>
      </x:c>
      <x:c r="I81" s="2" t="n">
        <x:v>46174</x:v>
      </x:c>
      <x:c r="J81" s="2" t="n">
        <x:v>46446</x:v>
      </x:c>
      <x:c r="K81" t="str">
        <x:f>IF(J81&lt;TODAY(),"Overdue",IF(J81&lt;=TODAY()+30,"Due Soon","Current"))</x:f>
        <x:v>Current</x:v>
      </x:c>
      <x:c r="L81" t="str">
        <x:v>Yes</x:v>
      </x:c>
      <x:c r="M81" t="str">
        <x:f>IF(L81="No","N/A",IFERROR(VLOOKUP(B81,Employee_Master!$A$2:$N$31,11,FALSE),"Unknown"))</x:f>
        <x:v>Enabled</x:v>
      </x:c>
      <x:c r="N81" t="str">
        <x:v>Low</x:v>
      </x:c>
      <x:c r="O81" t="str">
        <x:v>OK</x:v>
      </x:c>
      <x:c r="P81" t="str"/>
    </x:row>
    <x:row r="82">
      <x:c r="A82" t="str">
        <x:v>ACC-080</x:v>
      </x:c>
      <x:c r="B82" t="str">
        <x:v>UE025</x:v>
      </x:c>
      <x:c r="C82" t="str">
        <x:f>IFERROR(VLOOKUP(B82,Employee_Master!$A$2:$N$31,2,FALSE),"")</x:f>
        <x:v>Demo Employee 25</x:v>
      </x:c>
      <x:c r="D82" t="str">
        <x:f>IFERROR(VLOOKUP(B82,Employee_Master!$A$2:$N$31,4,FALSE),"")</x:f>
        <x:v>Construction &amp; Project Management</x:v>
      </x:c>
      <x:c r="E82" t="str">
        <x:v>SharePoint - General</x:v>
      </x:c>
      <x:c r="F82" t="str">
        <x:v>Member</x:v>
      </x:c>
      <x:c r="G82" t="str">
        <x:v>Company collaboration</x:v>
      </x:c>
      <x:c r="H82" t="str">
        <x:v>UE003</x:v>
      </x:c>
      <x:c r="I82" s="2" t="n">
        <x:v>45667</x:v>
      </x:c>
      <x:c r="J82" s="2" t="n">
        <x:v>46356</x:v>
      </x:c>
      <x:c r="K82" t="str">
        <x:f>IF(J82&lt;TODAY(),"Overdue",IF(J82&lt;=TODAY()+30,"Due Soon","Current"))</x:f>
        <x:v>Current</x:v>
      </x:c>
      <x:c r="L82" t="str">
        <x:v>Yes</x:v>
      </x:c>
      <x:c r="M82" t="str">
        <x:f>IF(L82="No","N/A",IFERROR(VLOOKUP(B82,Employee_Master!$A$2:$N$31,11,FALSE),"Unknown"))</x:f>
        <x:v>Enabled</x:v>
      </x:c>
      <x:c r="N82" t="str">
        <x:v>Low</x:v>
      </x:c>
      <x:c r="O82" t="str">
        <x:v>OK</x:v>
      </x:c>
      <x:c r="P82" t="str"/>
    </x:row>
    <x:row r="83">
      <x:c r="A83" t="str">
        <x:v>ACC-081</x:v>
      </x:c>
      <x:c r="B83" t="str">
        <x:v>UE025</x:v>
      </x:c>
      <x:c r="C83" t="str">
        <x:f>IFERROR(VLOOKUP(B83,Employee_Master!$A$2:$N$31,2,FALSE),"")</x:f>
        <x:v>Demo Employee 25</x:v>
      </x:c>
      <x:c r="D83" t="str">
        <x:f>IFERROR(VLOOKUP(B83,Employee_Master!$A$2:$N$31,4,FALSE),"")</x:f>
        <x:v>Construction &amp; Project Management</x:v>
      </x:c>
      <x:c r="E83" t="str">
        <x:v>Project Folder - Morphett Vale</x:v>
      </x:c>
      <x:c r="F83" t="str">
        <x:v>Project Member</x:v>
      </x:c>
      <x:c r="G83" t="str">
        <x:v>Construction project delivery</x:v>
      </x:c>
      <x:c r="H83" t="str">
        <x:v>UE003</x:v>
      </x:c>
      <x:c r="I83" s="2" t="n">
        <x:v>45680</x:v>
      </x:c>
      <x:c r="J83" s="2" t="n">
        <x:v>46386</x:v>
      </x:c>
      <x:c r="K83" t="str">
        <x:f>IF(J83&lt;TODAY(),"Overdue",IF(J83&lt;=TODAY()+30,"Due Soon","Current"))</x:f>
        <x:v>Current</x:v>
      </x:c>
      <x:c r="L83" t="str">
        <x:v>Yes</x:v>
      </x:c>
      <x:c r="M83" t="str">
        <x:f>IF(L83="No","N/A",IFERROR(VLOOKUP(B83,Employee_Master!$A$2:$N$31,11,FALSE),"Unknown"))</x:f>
        <x:v>Enabled</x:v>
      </x:c>
      <x:c r="N83" t="str">
        <x:v>Medium</x:v>
      </x:c>
      <x:c r="O83" t="str">
        <x:v>OK</x:v>
      </x:c>
      <x:c r="P83" t="str"/>
    </x:row>
    <x:row r="84">
      <x:c r="A84" t="str">
        <x:v>ACC-082</x:v>
      </x:c>
      <x:c r="B84" t="str">
        <x:v>UE026</x:v>
      </x:c>
      <x:c r="C84" t="str">
        <x:f>IFERROR(VLOOKUP(B84,Employee_Master!$A$2:$N$31,2,FALSE),"")</x:f>
        <x:v>Demo Employee 26</x:v>
      </x:c>
      <x:c r="D84" t="str">
        <x:f>IFERROR(VLOOKUP(B84,Employee_Master!$A$2:$N$31,4,FALSE),"")</x:f>
        <x:v>Construction &amp; Project Management</x:v>
      </x:c>
      <x:c r="E84" t="str">
        <x:v>Microsoft 365</x:v>
      </x:c>
      <x:c r="F84" t="str">
        <x:v>Standard User</x:v>
      </x:c>
      <x:c r="G84" t="str">
        <x:v>Core productivity</x:v>
      </x:c>
      <x:c r="H84" t="str">
        <x:v>UE003</x:v>
      </x:c>
      <x:c r="I84" s="2" t="n">
        <x:v>45693</x:v>
      </x:c>
      <x:c r="J84" s="2" t="n">
        <x:v>46416</x:v>
      </x:c>
      <x:c r="K84" t="str">
        <x:f>IF(J84&lt;TODAY(),"Overdue",IF(J84&lt;=TODAY()+30,"Due Soon","Current"))</x:f>
        <x:v>Current</x:v>
      </x:c>
      <x:c r="L84" t="str">
        <x:v>Yes</x:v>
      </x:c>
      <x:c r="M84" t="str">
        <x:f>IF(L84="No","N/A",IFERROR(VLOOKUP(B84,Employee_Master!$A$2:$N$31,11,FALSE),"Unknown"))</x:f>
        <x:v>Pending</x:v>
      </x:c>
      <x:c r="N84" t="str">
        <x:v>Low</x:v>
      </x:c>
      <x:c r="O84" t="str">
        <x:v>OK</x:v>
      </x:c>
      <x:c r="P84" t="str"/>
    </x:row>
    <x:row r="85">
      <x:c r="A85" t="str">
        <x:v>ACC-083</x:v>
      </x:c>
      <x:c r="B85" t="str">
        <x:v>UE026</x:v>
      </x:c>
      <x:c r="C85" t="str">
        <x:f>IFERROR(VLOOKUP(B85,Employee_Master!$A$2:$N$31,2,FALSE),"")</x:f>
        <x:v>Demo Employee 26</x:v>
      </x:c>
      <x:c r="D85" t="str">
        <x:f>IFERROR(VLOOKUP(B85,Employee_Master!$A$2:$N$31,4,FALSE),"")</x:f>
        <x:v>Construction &amp; Project Management</x:v>
      </x:c>
      <x:c r="E85" t="str">
        <x:v>SharePoint - General</x:v>
      </x:c>
      <x:c r="F85" t="str">
        <x:v>Member</x:v>
      </x:c>
      <x:c r="G85" t="str">
        <x:v>Company collaboration</x:v>
      </x:c>
      <x:c r="H85" t="str">
        <x:v>UE003</x:v>
      </x:c>
      <x:c r="I85" s="2" t="n">
        <x:v>45706</x:v>
      </x:c>
      <x:c r="J85" s="2" t="n">
        <x:v>46446</x:v>
      </x:c>
      <x:c r="K85" t="str">
        <x:f>IF(J85&lt;TODAY(),"Overdue",IF(J85&lt;=TODAY()+30,"Due Soon","Current"))</x:f>
        <x:v>Current</x:v>
      </x:c>
      <x:c r="L85" t="str">
        <x:v>Yes</x:v>
      </x:c>
      <x:c r="M85" t="str">
        <x:f>IF(L85="No","N/A",IFERROR(VLOOKUP(B85,Employee_Master!$A$2:$N$31,11,FALSE),"Unknown"))</x:f>
        <x:v>Pending</x:v>
      </x:c>
      <x:c r="N85" t="str">
        <x:v>Low</x:v>
      </x:c>
      <x:c r="O85" t="str">
        <x:v>OK</x:v>
      </x:c>
      <x:c r="P85" t="str"/>
    </x:row>
    <x:row r="86">
      <x:c r="A86" t="str">
        <x:v>ACC-084</x:v>
      </x:c>
      <x:c r="B86" t="str">
        <x:v>UE026</x:v>
      </x:c>
      <x:c r="C86" t="str">
        <x:f>IFERROR(VLOOKUP(B86,Employee_Master!$A$2:$N$31,2,FALSE),"")</x:f>
        <x:v>Demo Employee 26</x:v>
      </x:c>
      <x:c r="D86" t="str">
        <x:f>IFERROR(VLOOKUP(B86,Employee_Master!$A$2:$N$31,4,FALSE),"")</x:f>
        <x:v>Construction &amp; Project Management</x:v>
      </x:c>
      <x:c r="E86" t="str">
        <x:v>Construction SharePoint</x:v>
      </x:c>
      <x:c r="F86" t="str">
        <x:v>Project Member</x:v>
      </x:c>
      <x:c r="G86" t="str">
        <x:v>Construction project delivery</x:v>
      </x:c>
      <x:c r="H86" t="str">
        <x:v>UE003</x:v>
      </x:c>
      <x:c r="I86" s="2" t="n">
        <x:v>45719</x:v>
      </x:c>
      <x:c r="J86" s="2" t="n">
        <x:v>46356</x:v>
      </x:c>
      <x:c r="K86" t="str">
        <x:f>IF(J86&lt;TODAY(),"Overdue",IF(J86&lt;=TODAY()+30,"Due Soon","Current"))</x:f>
        <x:v>Current</x:v>
      </x:c>
      <x:c r="L86" t="str">
        <x:v>Yes</x:v>
      </x:c>
      <x:c r="M86" t="str">
        <x:f>IF(L86="No","N/A",IFERROR(VLOOKUP(B86,Employee_Master!$A$2:$N$31,11,FALSE),"Unknown"))</x:f>
        <x:v>Pending</x:v>
      </x:c>
      <x:c r="N86" t="str">
        <x:v>Medium</x:v>
      </x:c>
      <x:c r="O86" t="str">
        <x:v>OK</x:v>
      </x:c>
      <x:c r="P86" t="str"/>
    </x:row>
    <x:row r="87">
      <x:c r="A87" t="str">
        <x:v>ACC-085</x:v>
      </x:c>
      <x:c r="B87" t="str">
        <x:v>UE027</x:v>
      </x:c>
      <x:c r="C87" t="str">
        <x:f>IFERROR(VLOOKUP(B87,Employee_Master!$A$2:$N$31,2,FALSE),"")</x:f>
        <x:v>Demo Employee 27</x:v>
      </x:c>
      <x:c r="D87" t="str">
        <x:f>IFERROR(VLOOKUP(B87,Employee_Master!$A$2:$N$31,4,FALSE),"")</x:f>
        <x:v>Marketing</x:v>
      </x:c>
      <x:c r="E87" t="str">
        <x:v>Microsoft 365</x:v>
      </x:c>
      <x:c r="F87" t="str">
        <x:v>Standard User</x:v>
      </x:c>
      <x:c r="G87" t="str">
        <x:v>Core productivity</x:v>
      </x:c>
      <x:c r="H87" t="str">
        <x:v>UE003</x:v>
      </x:c>
      <x:c r="I87" s="2" t="n">
        <x:v>45732</x:v>
      </x:c>
      <x:c r="J87" s="2" t="n">
        <x:v>46386</x:v>
      </x:c>
      <x:c r="K87" t="str">
        <x:f>IF(J87&lt;TODAY(),"Overdue",IF(J87&lt;=TODAY()+30,"Due Soon","Current"))</x:f>
        <x:v>Current</x:v>
      </x:c>
      <x:c r="L87" t="str">
        <x:v>Yes</x:v>
      </x:c>
      <x:c r="M87" t="str">
        <x:f>IF(L87="No","N/A",IFERROR(VLOOKUP(B87,Employee_Master!$A$2:$N$31,11,FALSE),"Unknown"))</x:f>
        <x:v>Enabled</x:v>
      </x:c>
      <x:c r="N87" t="str">
        <x:v>Low</x:v>
      </x:c>
      <x:c r="O87" t="str">
        <x:v>OK</x:v>
      </x:c>
      <x:c r="P87" t="str"/>
    </x:row>
    <x:row r="88">
      <x:c r="A88" t="str">
        <x:v>ACC-086</x:v>
      </x:c>
      <x:c r="B88" t="str">
        <x:v>UE027</x:v>
      </x:c>
      <x:c r="C88" t="str">
        <x:f>IFERROR(VLOOKUP(B88,Employee_Master!$A$2:$N$31,2,FALSE),"")</x:f>
        <x:v>Demo Employee 27</x:v>
      </x:c>
      <x:c r="D88" t="str">
        <x:f>IFERROR(VLOOKUP(B88,Employee_Master!$A$2:$N$31,4,FALSE),"")</x:f>
        <x:v>Marketing</x:v>
      </x:c>
      <x:c r="E88" t="str">
        <x:v>SharePoint - General</x:v>
      </x:c>
      <x:c r="F88" t="str">
        <x:v>Member</x:v>
      </x:c>
      <x:c r="G88" t="str">
        <x:v>Company collaboration</x:v>
      </x:c>
      <x:c r="H88" t="str">
        <x:v>UE003</x:v>
      </x:c>
      <x:c r="I88" s="2" t="n">
        <x:v>45745</x:v>
      </x:c>
      <x:c r="J88" s="2" t="n">
        <x:v>46416</x:v>
      </x:c>
      <x:c r="K88" t="str">
        <x:f>IF(J88&lt;TODAY(),"Overdue",IF(J88&lt;=TODAY()+30,"Due Soon","Current"))</x:f>
        <x:v>Current</x:v>
      </x:c>
      <x:c r="L88" t="str">
        <x:v>Yes</x:v>
      </x:c>
      <x:c r="M88" t="str">
        <x:f>IF(L88="No","N/A",IFERROR(VLOOKUP(B88,Employee_Master!$A$2:$N$31,11,FALSE),"Unknown"))</x:f>
        <x:v>Enabled</x:v>
      </x:c>
      <x:c r="N88" t="str">
        <x:v>Low</x:v>
      </x:c>
      <x:c r="O88" t="str">
        <x:v>OK</x:v>
      </x:c>
      <x:c r="P88" t="str"/>
    </x:row>
    <x:row r="89">
      <x:c r="A89" t="str">
        <x:v>ACC-087</x:v>
      </x:c>
      <x:c r="B89" t="str">
        <x:v>UE027</x:v>
      </x:c>
      <x:c r="C89" t="str">
        <x:f>IFERROR(VLOOKUP(B89,Employee_Master!$A$2:$N$31,2,FALSE),"")</x:f>
        <x:v>Demo Employee 27</x:v>
      </x:c>
      <x:c r="D89" t="str">
        <x:f>IFERROR(VLOOKUP(B89,Employee_Master!$A$2:$N$31,4,FALSE),"")</x:f>
        <x:v>Marketing</x:v>
      </x:c>
      <x:c r="E89" t="str">
        <x:v>Marketing SharePoint</x:v>
      </x:c>
      <x:c r="F89" t="str">
        <x:v>Member</x:v>
      </x:c>
      <x:c r="G89" t="str">
        <x:v>Campaign files</x:v>
      </x:c>
      <x:c r="H89" t="str">
        <x:v>UE003</x:v>
      </x:c>
      <x:c r="I89" s="2" t="n">
        <x:v>45758</x:v>
      </x:c>
      <x:c r="J89" s="2" t="n">
        <x:v>46446</x:v>
      </x:c>
      <x:c r="K89" t="str">
        <x:f>IF(J89&lt;TODAY(),"Overdue",IF(J89&lt;=TODAY()+30,"Due Soon","Current"))</x:f>
        <x:v>Current</x:v>
      </x:c>
      <x:c r="L89" t="str">
        <x:v>Yes</x:v>
      </x:c>
      <x:c r="M89" t="str">
        <x:f>IF(L89="No","N/A",IFERROR(VLOOKUP(B89,Employee_Master!$A$2:$N$31,11,FALSE),"Unknown"))</x:f>
        <x:v>Enabled</x:v>
      </x:c>
      <x:c r="N89" t="str">
        <x:v>Medium</x:v>
      </x:c>
      <x:c r="O89" t="str">
        <x:v>OK</x:v>
      </x:c>
      <x:c r="P89" t="str"/>
    </x:row>
    <x:row r="90">
      <x:c r="A90" t="str">
        <x:v>ACC-088</x:v>
      </x:c>
      <x:c r="B90" t="str">
        <x:v>UE027</x:v>
      </x:c>
      <x:c r="C90" t="str">
        <x:f>IFERROR(VLOOKUP(B90,Employee_Master!$A$2:$N$31,2,FALSE),"")</x:f>
        <x:v>Demo Employee 27</x:v>
      </x:c>
      <x:c r="D90" t="str">
        <x:f>IFERROR(VLOOKUP(B90,Employee_Master!$A$2:$N$31,4,FALSE),"")</x:f>
        <x:v>Marketing</x:v>
      </x:c>
      <x:c r="E90" t="str">
        <x:v>Social Media Admin</x:v>
      </x:c>
      <x:c r="F90" t="str">
        <x:v>Editor</x:v>
      </x:c>
      <x:c r="G90" t="str">
        <x:v>Publish approved content</x:v>
      </x:c>
      <x:c r="H90" t="str">
        <x:v>UE003</x:v>
      </x:c>
      <x:c r="I90" s="2" t="n">
        <x:v>45771</x:v>
      </x:c>
      <x:c r="J90" s="2" t="n">
        <x:v>46356</x:v>
      </x:c>
      <x:c r="K90" t="str">
        <x:f>IF(J90&lt;TODAY(),"Overdue",IF(J90&lt;=TODAY()+30,"Due Soon","Current"))</x:f>
        <x:v>Current</x:v>
      </x:c>
      <x:c r="L90" t="str">
        <x:v>Yes</x:v>
      </x:c>
      <x:c r="M90" t="str">
        <x:f>IF(L90="No","N/A",IFERROR(VLOOKUP(B90,Employee_Master!$A$2:$N$31,11,FALSE),"Unknown"))</x:f>
        <x:v>Enabled</x:v>
      </x:c>
      <x:c r="N90" t="str">
        <x:v>High</x:v>
      </x:c>
      <x:c r="O90" t="str">
        <x:v>OK</x:v>
      </x:c>
      <x:c r="P90" t="str"/>
    </x:row>
    <x:row r="91">
      <x:c r="A91" t="str">
        <x:v>ACC-089</x:v>
      </x:c>
      <x:c r="B91" t="str">
        <x:v>UE028</x:v>
      </x:c>
      <x:c r="C91" t="str">
        <x:f>IFERROR(VLOOKUP(B91,Employee_Master!$A$2:$N$31,2,FALSE),"")</x:f>
        <x:v>Demo Employee 28</x:v>
      </x:c>
      <x:c r="D91" t="str">
        <x:f>IFERROR(VLOOKUP(B91,Employee_Master!$A$2:$N$31,4,FALSE),"")</x:f>
        <x:v>Marketing</x:v>
      </x:c>
      <x:c r="E91" t="str">
        <x:v>Microsoft 365</x:v>
      </x:c>
      <x:c r="F91" t="str">
        <x:v>Standard User</x:v>
      </x:c>
      <x:c r="G91" t="str">
        <x:v>Core productivity</x:v>
      </x:c>
      <x:c r="H91" t="str">
        <x:v>UE003</x:v>
      </x:c>
      <x:c r="I91" s="2" t="n">
        <x:v>45784</x:v>
      </x:c>
      <x:c r="J91" s="2" t="n">
        <x:v>46386</x:v>
      </x:c>
      <x:c r="K91" t="str">
        <x:f>IF(J91&lt;TODAY(),"Overdue",IF(J91&lt;=TODAY()+30,"Due Soon","Current"))</x:f>
        <x:v>Current</x:v>
      </x:c>
      <x:c r="L91" t="str">
        <x:v>Yes</x:v>
      </x:c>
      <x:c r="M91" t="str">
        <x:f>IF(L91="No","N/A",IFERROR(VLOOKUP(B91,Employee_Master!$A$2:$N$31,11,FALSE),"Unknown"))</x:f>
        <x:v>Enabled</x:v>
      </x:c>
      <x:c r="N91" t="str">
        <x:v>Low</x:v>
      </x:c>
      <x:c r="O91" t="str">
        <x:v>OK</x:v>
      </x:c>
      <x:c r="P91" t="str"/>
    </x:row>
    <x:row r="92">
      <x:c r="A92" t="str">
        <x:v>ACC-090</x:v>
      </x:c>
      <x:c r="B92" t="str">
        <x:v>UE028</x:v>
      </x:c>
      <x:c r="C92" t="str">
        <x:f>IFERROR(VLOOKUP(B92,Employee_Master!$A$2:$N$31,2,FALSE),"")</x:f>
        <x:v>Demo Employee 28</x:v>
      </x:c>
      <x:c r="D92" t="str">
        <x:f>IFERROR(VLOOKUP(B92,Employee_Master!$A$2:$N$31,4,FALSE),"")</x:f>
        <x:v>Marketing</x:v>
      </x:c>
      <x:c r="E92" t="str">
        <x:v>SharePoint - General</x:v>
      </x:c>
      <x:c r="F92" t="str">
        <x:v>Member</x:v>
      </x:c>
      <x:c r="G92" t="str">
        <x:v>Company collaboration</x:v>
      </x:c>
      <x:c r="H92" t="str">
        <x:v>UE003</x:v>
      </x:c>
      <x:c r="I92" s="2" t="n">
        <x:v>45797</x:v>
      </x:c>
      <x:c r="J92" s="2" t="n">
        <x:v>46416</x:v>
      </x:c>
      <x:c r="K92" t="str">
        <x:f>IF(J92&lt;TODAY(),"Overdue",IF(J92&lt;=TODAY()+30,"Due Soon","Current"))</x:f>
        <x:v>Current</x:v>
      </x:c>
      <x:c r="L92" t="str">
        <x:v>Yes</x:v>
      </x:c>
      <x:c r="M92" t="str">
        <x:f>IF(L92="No","N/A",IFERROR(VLOOKUP(B92,Employee_Master!$A$2:$N$31,11,FALSE),"Unknown"))</x:f>
        <x:v>Enabled</x:v>
      </x:c>
      <x:c r="N92" t="str">
        <x:v>Low</x:v>
      </x:c>
      <x:c r="O92" t="str">
        <x:v>OK</x:v>
      </x:c>
      <x:c r="P92" t="str"/>
    </x:row>
    <x:row r="93">
      <x:c r="A93" t="str">
        <x:v>ACC-091</x:v>
      </x:c>
      <x:c r="B93" t="str">
        <x:v>UE028</x:v>
      </x:c>
      <x:c r="C93" t="str">
        <x:f>IFERROR(VLOOKUP(B93,Employee_Master!$A$2:$N$31,2,FALSE),"")</x:f>
        <x:v>Demo Employee 28</x:v>
      </x:c>
      <x:c r="D93" t="str">
        <x:f>IFERROR(VLOOKUP(B93,Employee_Master!$A$2:$N$31,4,FALSE),"")</x:f>
        <x:v>Marketing</x:v>
      </x:c>
      <x:c r="E93" t="str">
        <x:v>Marketing SharePoint</x:v>
      </x:c>
      <x:c r="F93" t="str">
        <x:v>Member</x:v>
      </x:c>
      <x:c r="G93" t="str">
        <x:v>Campaign files</x:v>
      </x:c>
      <x:c r="H93" t="str">
        <x:v>UE003</x:v>
      </x:c>
      <x:c r="I93" s="2" t="n">
        <x:v>45810</x:v>
      </x:c>
      <x:c r="J93" s="2" t="n">
        <x:v>46446</x:v>
      </x:c>
      <x:c r="K93" t="str">
        <x:f>IF(J93&lt;TODAY(),"Overdue",IF(J93&lt;=TODAY()+30,"Due Soon","Current"))</x:f>
        <x:v>Current</x:v>
      </x:c>
      <x:c r="L93" t="str">
        <x:v>Yes</x:v>
      </x:c>
      <x:c r="M93" t="str">
        <x:f>IF(L93="No","N/A",IFERROR(VLOOKUP(B93,Employee_Master!$A$2:$N$31,11,FALSE),"Unknown"))</x:f>
        <x:v>Enabled</x:v>
      </x:c>
      <x:c r="N93" t="str">
        <x:v>Medium</x:v>
      </x:c>
      <x:c r="O93" t="str">
        <x:v>OK</x:v>
      </x:c>
      <x:c r="P93" t="str"/>
    </x:row>
    <x:row r="94">
      <x:c r="A94" t="str">
        <x:v>ACC-092</x:v>
      </x:c>
      <x:c r="B94" t="str">
        <x:v>UE028</x:v>
      </x:c>
      <x:c r="C94" t="str">
        <x:f>IFERROR(VLOOKUP(B94,Employee_Master!$A$2:$N$31,2,FALSE),"")</x:f>
        <x:v>Demo Employee 28</x:v>
      </x:c>
      <x:c r="D94" t="str">
        <x:f>IFERROR(VLOOKUP(B94,Employee_Master!$A$2:$N$31,4,FALSE),"")</x:f>
        <x:v>Marketing</x:v>
      </x:c>
      <x:c r="E94" t="str">
        <x:v>Social Media Admin</x:v>
      </x:c>
      <x:c r="F94" t="str">
        <x:v>Editor</x:v>
      </x:c>
      <x:c r="G94" t="str">
        <x:v>Publish approved content</x:v>
      </x:c>
      <x:c r="H94" t="str">
        <x:v>UE003</x:v>
      </x:c>
      <x:c r="I94" s="2" t="n">
        <x:v>45823</x:v>
      </x:c>
      <x:c r="J94" s="2" t="n">
        <x:v>46356</x:v>
      </x:c>
      <x:c r="K94" t="str">
        <x:f>IF(J94&lt;TODAY(),"Overdue",IF(J94&lt;=TODAY()+30,"Due Soon","Current"))</x:f>
        <x:v>Current</x:v>
      </x:c>
      <x:c r="L94" t="str">
        <x:v>Yes</x:v>
      </x:c>
      <x:c r="M94" t="str">
        <x:f>IF(L94="No","N/A",IFERROR(VLOOKUP(B94,Employee_Master!$A$2:$N$31,11,FALSE),"Unknown"))</x:f>
        <x:v>Enabled</x:v>
      </x:c>
      <x:c r="N94" t="str">
        <x:v>High</x:v>
      </x:c>
      <x:c r="O94" t="str">
        <x:v>OK</x:v>
      </x:c>
      <x:c r="P94" t="str"/>
    </x:row>
    <x:row r="95">
      <x:c r="A95" t="str">
        <x:v>ACC-093</x:v>
      </x:c>
      <x:c r="B95" t="str">
        <x:v>UE029</x:v>
      </x:c>
      <x:c r="C95" t="str">
        <x:f>IFERROR(VLOOKUP(B95,Employee_Master!$A$2:$N$31,2,FALSE),"")</x:f>
        <x:v>Demo Employee 29</x:v>
      </x:c>
      <x:c r="D95" t="str">
        <x:f>IFERROR(VLOOKUP(B95,Employee_Master!$A$2:$N$31,4,FALSE),"")</x:f>
        <x:v>IT &amp; Operations</x:v>
      </x:c>
      <x:c r="E95" t="str">
        <x:v>Microsoft 365</x:v>
      </x:c>
      <x:c r="F95" t="str">
        <x:v>Standard User</x:v>
      </x:c>
      <x:c r="G95" t="str">
        <x:v>Core productivity</x:v>
      </x:c>
      <x:c r="H95" t="str">
        <x:v>UE003</x:v>
      </x:c>
      <x:c r="I95" s="2" t="n">
        <x:v>45836</x:v>
      </x:c>
      <x:c r="J95" s="2" t="n">
        <x:v>46386</x:v>
      </x:c>
      <x:c r="K95" t="str">
        <x:f>IF(J95&lt;TODAY(),"Overdue",IF(J95&lt;=TODAY()+30,"Due Soon","Current"))</x:f>
        <x:v>Current</x:v>
      </x:c>
      <x:c r="L95" t="str">
        <x:v>Yes</x:v>
      </x:c>
      <x:c r="M95" t="str">
        <x:f>IF(L95="No","N/A",IFERROR(VLOOKUP(B95,Employee_Master!$A$2:$N$31,11,FALSE),"Unknown"))</x:f>
        <x:v>Enabled</x:v>
      </x:c>
      <x:c r="N95" t="str">
        <x:v>Low</x:v>
      </x:c>
      <x:c r="O95" t="str">
        <x:v>OK</x:v>
      </x:c>
      <x:c r="P95" t="str"/>
    </x:row>
    <x:row r="96">
      <x:c r="A96" t="str">
        <x:v>ACC-094</x:v>
      </x:c>
      <x:c r="B96" t="str">
        <x:v>UE029</x:v>
      </x:c>
      <x:c r="C96" t="str">
        <x:f>IFERROR(VLOOKUP(B96,Employee_Master!$A$2:$N$31,2,FALSE),"")</x:f>
        <x:v>Demo Employee 29</x:v>
      </x:c>
      <x:c r="D96" t="str">
        <x:f>IFERROR(VLOOKUP(B96,Employee_Master!$A$2:$N$31,4,FALSE),"")</x:f>
        <x:v>IT &amp; Operations</x:v>
      </x:c>
      <x:c r="E96" t="str">
        <x:v>SharePoint - General</x:v>
      </x:c>
      <x:c r="F96" t="str">
        <x:v>Member</x:v>
      </x:c>
      <x:c r="G96" t="str">
        <x:v>Company collaboration</x:v>
      </x:c>
      <x:c r="H96" t="str">
        <x:v>UE003</x:v>
      </x:c>
      <x:c r="I96" s="2" t="n">
        <x:v>45849</x:v>
      </x:c>
      <x:c r="J96" s="2" t="n">
        <x:v>46416</x:v>
      </x:c>
      <x:c r="K96" t="str">
        <x:f>IF(J96&lt;TODAY(),"Overdue",IF(J96&lt;=TODAY()+30,"Due Soon","Current"))</x:f>
        <x:v>Current</x:v>
      </x:c>
      <x:c r="L96" t="str">
        <x:v>Yes</x:v>
      </x:c>
      <x:c r="M96" t="str">
        <x:f>IF(L96="No","N/A",IFERROR(VLOOKUP(B96,Employee_Master!$A$2:$N$31,11,FALSE),"Unknown"))</x:f>
        <x:v>Enabled</x:v>
      </x:c>
      <x:c r="N96" t="str">
        <x:v>Low</x:v>
      </x:c>
      <x:c r="O96" t="str">
        <x:v>OK</x:v>
      </x:c>
      <x:c r="P96" t="str"/>
    </x:row>
    <x:row r="97">
      <x:c r="A97" t="str">
        <x:v>ACC-095</x:v>
      </x:c>
      <x:c r="B97" t="str">
        <x:v>UE029</x:v>
      </x:c>
      <x:c r="C97" t="str">
        <x:f>IFERROR(VLOOKUP(B97,Employee_Master!$A$2:$N$31,2,FALSE),"")</x:f>
        <x:v>Demo Employee 29</x:v>
      </x:c>
      <x:c r="D97" t="str">
        <x:f>IFERROR(VLOOKUP(B97,Employee_Master!$A$2:$N$31,4,FALSE),"")</x:f>
        <x:v>IT &amp; Operations</x:v>
      </x:c>
      <x:c r="E97" t="str">
        <x:v>Microsoft Entra ID</x:v>
      </x:c>
      <x:c r="F97" t="str">
        <x:v>Administrator</x:v>
      </x:c>
      <x:c r="G97" t="str">
        <x:v>User and access administration</x:v>
      </x:c>
      <x:c r="H97" t="str">
        <x:v>UE003</x:v>
      </x:c>
      <x:c r="I97" s="2" t="n">
        <x:v>45862</x:v>
      </x:c>
      <x:c r="J97" s="2" t="n">
        <x:v>46446</x:v>
      </x:c>
      <x:c r="K97" t="str">
        <x:f>IF(J97&lt;TODAY(),"Overdue",IF(J97&lt;=TODAY()+30,"Due Soon","Current"))</x:f>
        <x:v>Current</x:v>
      </x:c>
      <x:c r="L97" t="str">
        <x:v>Yes</x:v>
      </x:c>
      <x:c r="M97" t="str">
        <x:f>IF(L97="No","N/A",IFERROR(VLOOKUP(B97,Employee_Master!$A$2:$N$31,11,FALSE),"Unknown"))</x:f>
        <x:v>Enabled</x:v>
      </x:c>
      <x:c r="N97" t="str">
        <x:v>High</x:v>
      </x:c>
      <x:c r="O97" t="str">
        <x:v>OK</x:v>
      </x:c>
      <x:c r="P97" t="str"/>
    </x:row>
    <x:row r="98">
      <x:c r="A98" t="str">
        <x:v>ACC-096</x:v>
      </x:c>
      <x:c r="B98" t="str">
        <x:v>UE029</x:v>
      </x:c>
      <x:c r="C98" t="str">
        <x:f>IFERROR(VLOOKUP(B98,Employee_Master!$A$2:$N$31,2,FALSE),"")</x:f>
        <x:v>Demo Employee 29</x:v>
      </x:c>
      <x:c r="D98" t="str">
        <x:f>IFERROR(VLOOKUP(B98,Employee_Master!$A$2:$N$31,4,FALSE),"")</x:f>
        <x:v>IT &amp; Operations</x:v>
      </x:c>
      <x:c r="E98" t="str">
        <x:v>Microsoft Defender</x:v>
      </x:c>
      <x:c r="F98" t="str">
        <x:v>Administrator</x:v>
      </x:c>
      <x:c r="G98" t="str">
        <x:v>Security monitoring</x:v>
      </x:c>
      <x:c r="H98" t="str">
        <x:v>UE003</x:v>
      </x:c>
      <x:c r="I98" s="2" t="n">
        <x:v>45875</x:v>
      </x:c>
      <x:c r="J98" s="2" t="n">
        <x:v>46356</x:v>
      </x:c>
      <x:c r="K98" t="str">
        <x:f>IF(J98&lt;TODAY(),"Overdue",IF(J98&lt;=TODAY()+30,"Due Soon","Current"))</x:f>
        <x:v>Current</x:v>
      </x:c>
      <x:c r="L98" t="str">
        <x:v>Yes</x:v>
      </x:c>
      <x:c r="M98" t="str">
        <x:f>IF(L98="No","N/A",IFERROR(VLOOKUP(B98,Employee_Master!$A$2:$N$31,11,FALSE),"Unknown"))</x:f>
        <x:v>Enabled</x:v>
      </x:c>
      <x:c r="N98" t="str">
        <x:v>High</x:v>
      </x:c>
      <x:c r="O98" t="str">
        <x:v>OK</x:v>
      </x:c>
      <x:c r="P98" t="str"/>
    </x:row>
    <x:row r="99">
      <x:c r="A99" t="str">
        <x:v>ACC-097</x:v>
      </x:c>
      <x:c r="B99" t="str">
        <x:v>UE030</x:v>
      </x:c>
      <x:c r="C99" t="str">
        <x:f>IFERROR(VLOOKUP(B99,Employee_Master!$A$2:$N$31,2,FALSE),"")</x:f>
        <x:v>Demo Employee 30</x:v>
      </x:c>
      <x:c r="D99" t="str">
        <x:f>IFERROR(VLOOKUP(B99,Employee_Master!$A$2:$N$31,4,FALSE),"")</x:f>
        <x:v>IT &amp; Operations</x:v>
      </x:c>
      <x:c r="E99" t="str">
        <x:v>Microsoft 365</x:v>
      </x:c>
      <x:c r="F99" t="str">
        <x:v>Standard User</x:v>
      </x:c>
      <x:c r="G99" t="str">
        <x:v>Core productivity</x:v>
      </x:c>
      <x:c r="H99" t="str">
        <x:v>UE003</x:v>
      </x:c>
      <x:c r="I99" s="2" t="n">
        <x:v>45888</x:v>
      </x:c>
      <x:c r="J99" s="2" t="n">
        <x:v>46386</x:v>
      </x:c>
      <x:c r="K99" t="str">
        <x:f>IF(J99&lt;TODAY(),"Overdue",IF(J99&lt;=TODAY()+30,"Due Soon","Current"))</x:f>
        <x:v>Current</x:v>
      </x:c>
      <x:c r="L99" t="str">
        <x:v>Yes</x:v>
      </x:c>
      <x:c r="M99" t="str">
        <x:f>IF(L99="No","N/A",IFERROR(VLOOKUP(B99,Employee_Master!$A$2:$N$31,11,FALSE),"Unknown"))</x:f>
        <x:v>Enabled</x:v>
      </x:c>
      <x:c r="N99" t="str">
        <x:v>Low</x:v>
      </x:c>
      <x:c r="O99" t="str">
        <x:v>OK</x:v>
      </x:c>
      <x:c r="P99" t="str"/>
    </x:row>
    <x:row r="100">
      <x:c r="A100" t="str">
        <x:v>ACC-098</x:v>
      </x:c>
      <x:c r="B100" t="str">
        <x:v>UE030</x:v>
      </x:c>
      <x:c r="C100" t="str">
        <x:f>IFERROR(VLOOKUP(B100,Employee_Master!$A$2:$N$31,2,FALSE),"")</x:f>
        <x:v>Demo Employee 30</x:v>
      </x:c>
      <x:c r="D100" t="str">
        <x:f>IFERROR(VLOOKUP(B100,Employee_Master!$A$2:$N$31,4,FALSE),"")</x:f>
        <x:v>IT &amp; Operations</x:v>
      </x:c>
      <x:c r="E100" t="str">
        <x:v>SharePoint - General</x:v>
      </x:c>
      <x:c r="F100" t="str">
        <x:v>Member</x:v>
      </x:c>
      <x:c r="G100" t="str">
        <x:v>Company collaboration</x:v>
      </x:c>
      <x:c r="H100" t="str">
        <x:v>UE003</x:v>
      </x:c>
      <x:c r="I100" s="2" t="n">
        <x:v>45901</x:v>
      </x:c>
      <x:c r="J100" s="2" t="n">
        <x:v>46416</x:v>
      </x:c>
      <x:c r="K100" t="str">
        <x:f>IF(J100&lt;TODAY(),"Overdue",IF(J100&lt;=TODAY()+30,"Due Soon","Current"))</x:f>
        <x:v>Current</x:v>
      </x:c>
      <x:c r="L100" t="str">
        <x:v>Yes</x:v>
      </x:c>
      <x:c r="M100" t="str">
        <x:f>IF(L100="No","N/A",IFERROR(VLOOKUP(B100,Employee_Master!$A$2:$N$31,11,FALSE),"Unknown"))</x:f>
        <x:v>Enabled</x:v>
      </x:c>
      <x:c r="N100" t="str">
        <x:v>Low</x:v>
      </x:c>
      <x:c r="O100" t="str">
        <x:v>OK</x:v>
      </x:c>
      <x:c r="P100" t="str"/>
    </x:row>
    <x:row r="101">
      <x:c r="A101" t="str">
        <x:v>ACC-099</x:v>
      </x:c>
      <x:c r="B101" t="str">
        <x:v>UE030</x:v>
      </x:c>
      <x:c r="C101" t="str">
        <x:f>IFERROR(VLOOKUP(B101,Employee_Master!$A$2:$N$31,2,FALSE),"")</x:f>
        <x:v>Demo Employee 30</x:v>
      </x:c>
      <x:c r="D101" t="str">
        <x:f>IFERROR(VLOOKUP(B101,Employee_Master!$A$2:$N$31,4,FALSE),"")</x:f>
        <x:v>IT &amp; Operations</x:v>
      </x:c>
      <x:c r="E101" t="str">
        <x:v>Microsoft Entra ID</x:v>
      </x:c>
      <x:c r="F101" t="str">
        <x:v>Administrator</x:v>
      </x:c>
      <x:c r="G101" t="str">
        <x:v>User and access administration</x:v>
      </x:c>
      <x:c r="H101" t="str">
        <x:v>UE003</x:v>
      </x:c>
      <x:c r="I101" s="2" t="n">
        <x:v>45914</x:v>
      </x:c>
      <x:c r="J101" s="2" t="n">
        <x:v>46446</x:v>
      </x:c>
      <x:c r="K101" t="str">
        <x:f>IF(J101&lt;TODAY(),"Overdue",IF(J101&lt;=TODAY()+30,"Due Soon","Current"))</x:f>
        <x:v>Current</x:v>
      </x:c>
      <x:c r="L101" t="str">
        <x:v>Yes</x:v>
      </x:c>
      <x:c r="M101" t="str">
        <x:f>IF(L101="No","N/A",IFERROR(VLOOKUP(B101,Employee_Master!$A$2:$N$31,11,FALSE),"Unknown"))</x:f>
        <x:v>Enabled</x:v>
      </x:c>
      <x:c r="N101" t="str">
        <x:v>High</x:v>
      </x:c>
      <x:c r="O101" t="str">
        <x:v>OK</x:v>
      </x:c>
      <x:c r="P101" t="str"/>
    </x:row>
    <x:row r="102">
      <x:c r="A102" t="str">
        <x:v>ACC-100</x:v>
      </x:c>
      <x:c r="B102" t="str">
        <x:v>UE030</x:v>
      </x:c>
      <x:c r="C102" t="str">
        <x:f>IFERROR(VLOOKUP(B102,Employee_Master!$A$2:$N$31,2,FALSE),"")</x:f>
        <x:v>Demo Employee 30</x:v>
      </x:c>
      <x:c r="D102" t="str">
        <x:f>IFERROR(VLOOKUP(B102,Employee_Master!$A$2:$N$31,4,FALSE),"")</x:f>
        <x:v>IT &amp; Operations</x:v>
      </x:c>
      <x:c r="E102" t="str">
        <x:v>Microsoft Defender</x:v>
      </x:c>
      <x:c r="F102" t="str">
        <x:v>Administrator</x:v>
      </x:c>
      <x:c r="G102" t="str">
        <x:v>Security monitoring</x:v>
      </x:c>
      <x:c r="H102" t="str">
        <x:v>UE003</x:v>
      </x:c>
      <x:c r="I102" s="2" t="n">
        <x:v>45927</x:v>
      </x:c>
      <x:c r="J102" s="2" t="n">
        <x:v>46356</x:v>
      </x:c>
      <x:c r="K102" t="str">
        <x:f>IF(J102&lt;TODAY(),"Overdue",IF(J102&lt;=TODAY()+30,"Due Soon","Current"))</x:f>
        <x:v>Current</x:v>
      </x:c>
      <x:c r="L102" t="str">
        <x:v>Yes</x:v>
      </x:c>
      <x:c r="M102" t="str">
        <x:f>IF(L102="No","N/A",IFERROR(VLOOKUP(B102,Employee_Master!$A$2:$N$31,11,FALSE),"Unknown"))</x:f>
        <x:v>Enabled</x:v>
      </x:c>
      <x:c r="N102" t="str">
        <x:v>High</x:v>
      </x:c>
      <x:c r="O102" t="str">
        <x:v>OK</x:v>
      </x:c>
      <x:c r="P102" t="str"/>
    </x:row>
  </x:sheetData>
  <x:mergeCells>
    <x:mergeCell ref="A1:P1"/>
  </x:mergeCells>
  <x:conditionalFormatting sqref="K3:K102">
    <x:cfRule type="expression" dxfId="14" priority="1">
      <x:formula>K3="Overdue"</x:formula>
    </x:cfRule>
    <x:cfRule type="expression" dxfId="15" priority="2">
      <x:formula>K3="Due Soon"</x:formula>
    </x:cfRule>
  </x:conditionalFormatting>
  <x:conditionalFormatting sqref="O3:O102">
    <x:cfRule type="expression" dxfId="16" priority="3">
      <x:formula>O3="Review"</x:formula>
    </x:cfRule>
  </x:conditionalFormatting>
  <x:conditionalFormatting sqref="N3:N102">
    <x:cfRule type="expression" dxfId="17" priority="4">
      <x:formula>N3="High"</x:formula>
    </x:cfRule>
    <x:cfRule type="expression" dxfId="18" priority="5">
      <x:formula>N3="Medium"</x:formula>
    </x:cfRule>
  </x:conditionalFormatting>
  <x:dataValidations count="2">
    <x:dataValidation type="list" sqref="F3:F102">
      <x:formula1>"Standard User,Member,Project Member,Sales User,Finance User,Editor,Manager,Owner,Administrator"</x:formula1>
    </x:dataValidation>
    <x:dataValidation type="list" sqref="O3:O102">
      <x:formula1>"OK,Review"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37bdb3a6e44db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1" hidden="0" customWidth="1"/>
    <x:col min="3" max="3" width="20" hidden="0" customWidth="1"/>
    <x:col min="4" max="4" width="18" hidden="0" customWidth="1"/>
    <x:col min="5" max="5" width="19.25" hidden="0" customWidth="1"/>
    <x:col min="6" max="6" width="18" hidden="0" customWidth="1"/>
    <x:col min="7" max="7" width="16" hidden="0" customWidth="1"/>
    <x:col min="8" max="8" width="16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4.25" hidden="0" customWidth="1"/>
    <x:col min="16" max="16" width="16.1299991607666" hidden="0" customWidth="1"/>
    <x:col min="17" max="17" width="13.630000114440918" hidden="0" customWidth="1"/>
    <x:col min="18" max="18" width="12" hidden="0" customWidth="1"/>
  </x:cols>
  <x:sheetData>
    <x:row r="1" ht="28" customHeight="1">
      <x:c r="A1" s="78" t="str">
        <x:v>Urban Edge SA — IT Onboarding &amp; Offboarding | Demonstration Project — Mock Data Only</x:v>
      </x:c>
      <x:c r="B1" s="78"/>
      <x:c r="C1" s="78"/>
      <x:c r="D1" s="78"/>
      <x:c r="E1" s="78"/>
      <x:c r="F1" s="78"/>
    </x:row>
    <x:row r="3" ht="28" customHeight="1">
      <x:c r="A3" s="82" t="str">
        <x:v>ONBOARDING CHECKLIST</x:v>
      </x:c>
      <x:c r="B3" s="82" t="str">
        <x:v>Owner</x:v>
      </x:c>
      <x:c r="C3" s="82" t="str">
        <x:v>When</x:v>
      </x:c>
      <x:c r="D3" s="82" t="str">
        <x:v>Required</x:v>
      </x:c>
      <x:c r="E3" s="82" t="str">
        <x:v>Evidence</x:v>
      </x:c>
      <x:c r="F3" s="82" t="str">
        <x:v>Purpose</x:v>
      </x:c>
      <x:c r="G3" s="30"/>
      <x:c r="H3" s="82" t="str">
        <x:v>OFFBOARDING CHECKLIST</x:v>
      </x:c>
      <x:c r="I3" s="82" t="str">
        <x:v>Owner</x:v>
      </x:c>
      <x:c r="J3" s="82" t="str">
        <x:v>When</x:v>
      </x:c>
      <x:c r="K3" s="82" t="str">
        <x:v>Required</x:v>
      </x:c>
      <x:c r="L3" s="82" t="str">
        <x:v>Evidence</x:v>
      </x:c>
      <x:c r="M3" s="82" t="str">
        <x:v>Purpose</x:v>
      </x:c>
    </x:row>
    <x:row r="4">
      <x:c r="A4" s="30" t="str">
        <x:v>Confirm employee details / start date</x:v>
      </x:c>
      <x:c r="B4" s="30" t="str">
        <x:v>HR / Admin</x:v>
      </x:c>
      <x:c r="C4" s="30" t="str">
        <x:v>Before Day 1</x:v>
      </x:c>
      <x:c r="D4" s="30" t="str">
        <x:v>Yes</x:v>
      </x:c>
      <x:c r="E4" s="30" t="str">
        <x:v>Approved starter request</x:v>
      </x:c>
      <x:c r="F4" s="30" t="str">
        <x:v>Prevents incorrect account setup</x:v>
      </x:c>
      <x:c r="G4" s="30"/>
      <x:c r="H4" s="30" t="str">
        <x:v>Confirm last working date</x:v>
      </x:c>
      <x:c r="I4" s="30" t="str">
        <x:v>HR / Manager</x:v>
      </x:c>
      <x:c r="J4" s="30" t="str">
        <x:v>Before departure</x:v>
      </x:c>
      <x:c r="K4" s="30" t="str">
        <x:v>Yes</x:v>
      </x:c>
      <x:c r="L4" s="30" t="str">
        <x:v>Leaver notice</x:v>
      </x:c>
      <x:c r="M4" s="30" t="str">
        <x:v>Starts controlled offboarding</x:v>
      </x:c>
    </x:row>
    <x:row r="5">
      <x:c r="A5" s="30" t="str">
        <x:v>Allocate laptop / required hardware</x:v>
      </x:c>
      <x:c r="B5" s="30" t="str">
        <x:v>IT</x:v>
      </x:c>
      <x:c r="C5" s="30" t="str">
        <x:v>Before Day 1</x:v>
      </x:c>
      <x:c r="D5" s="30" t="str">
        <x:v>Yes</x:v>
      </x:c>
      <x:c r="E5" s="30" t="str">
        <x:v>Asset ID recorded</x:v>
      </x:c>
      <x:c r="F5" s="30" t="str">
        <x:v>Creates asset ownership</x:v>
      </x:c>
      <x:c r="G5" s="30"/>
      <x:c r="H5" s="30" t="str">
        <x:v>Disable user account</x:v>
      </x:c>
      <x:c r="I5" s="30" t="str">
        <x:v>IT</x:v>
      </x:c>
      <x:c r="J5" s="30" t="str">
        <x:v>At departure</x:v>
      </x:c>
      <x:c r="K5" s="30" t="str">
        <x:v>Yes</x:v>
      </x:c>
      <x:c r="L5" s="30" t="str">
        <x:v>Account disabled</x:v>
      </x:c>
      <x:c r="M5" s="30" t="str">
        <x:v>Stops unauthorised access</x:v>
      </x:c>
    </x:row>
    <x:row r="6">
      <x:c r="A6" s="30" t="str">
        <x:v>Create Microsoft 365 account</x:v>
      </x:c>
      <x:c r="B6" s="30" t="str">
        <x:v>IT</x:v>
      </x:c>
      <x:c r="C6" s="30" t="str">
        <x:v>Before Day 1</x:v>
      </x:c>
      <x:c r="D6" s="30" t="str">
        <x:v>Yes</x:v>
      </x:c>
      <x:c r="E6" s="30" t="str">
        <x:v>User account ID</x:v>
      </x:c>
      <x:c r="F6" s="30" t="str">
        <x:v>Provides core productivity access</x:v>
      </x:c>
      <x:c r="G6" s="30"/>
      <x:c r="H6" s="30" t="str">
        <x:v>Revoke active sessions / MFA</x:v>
      </x:c>
      <x:c r="I6" s="30" t="str">
        <x:v>IT</x:v>
      </x:c>
      <x:c r="J6" s="30" t="str">
        <x:v>At departure</x:v>
      </x:c>
      <x:c r="K6" s="30" t="str">
        <x:v>Yes</x:v>
      </x:c>
      <x:c r="L6" s="30" t="str">
        <x:v>Session revoked</x:v>
      </x:c>
      <x:c r="M6" s="30" t="str">
        <x:v>Stops token reuse</x:v>
      </x:c>
    </x:row>
    <x:row r="7">
      <x:c r="A7" s="30" t="str">
        <x:v>Assign M365 licence</x:v>
      </x:c>
      <x:c r="B7" s="30" t="str">
        <x:v>IT</x:v>
      </x:c>
      <x:c r="C7" s="30" t="str">
        <x:v>Before Day 1</x:v>
      </x:c>
      <x:c r="D7" s="30" t="str">
        <x:v>Yes</x:v>
      </x:c>
      <x:c r="E7" s="30" t="str">
        <x:v>Licence assigned</x:v>
      </x:c>
      <x:c r="F7" s="30" t="str">
        <x:v>Controls software entitlement</x:v>
      </x:c>
      <x:c r="G7" s="30"/>
      <x:c r="H7" s="30" t="str">
        <x:v>Remove project / SharePoint permissions</x:v>
      </x:c>
      <x:c r="I7" s="30" t="str">
        <x:v>IT</x:v>
      </x:c>
      <x:c r="J7" s="30" t="str">
        <x:v>At departure</x:v>
      </x:c>
      <x:c r="K7" s="30" t="str">
        <x:v>Yes</x:v>
      </x:c>
      <x:c r="L7" s="30" t="str">
        <x:v>Access removed</x:v>
      </x:c>
      <x:c r="M7" s="30" t="str">
        <x:v>Least privilege</x:v>
      </x:c>
    </x:row>
    <x:row r="8">
      <x:c r="A8" s="30" t="str">
        <x:v>Enable MFA</x:v>
      </x:c>
      <x:c r="B8" s="30" t="str">
        <x:v>IT + Employee</x:v>
      </x:c>
      <x:c r="C8" s="30" t="str">
        <x:v>Day 1</x:v>
      </x:c>
      <x:c r="D8" s="30" t="str">
        <x:v>Yes</x:v>
      </x:c>
      <x:c r="E8" s="30" t="str">
        <x:v>MFA registration</x:v>
      </x:c>
      <x:c r="F8" s="30" t="str">
        <x:v>Protects account</x:v>
      </x:c>
      <x:c r="G8" s="30"/>
      <x:c r="H8" s="30" t="str">
        <x:v>Recover laptop / phone / accessories</x:v>
      </x:c>
      <x:c r="I8" s="30" t="str">
        <x:v>IT / Admin</x:v>
      </x:c>
      <x:c r="J8" s="30" t="str">
        <x:v>Departure</x:v>
      </x:c>
      <x:c r="K8" s="30" t="str">
        <x:v>Yes</x:v>
      </x:c>
      <x:c r="L8" s="30" t="str">
        <x:v>Asset returned</x:v>
      </x:c>
      <x:c r="M8" s="30" t="str">
        <x:v>Protects company property</x:v>
      </x:c>
    </x:row>
    <x:row r="9">
      <x:c r="A9" s="30" t="str">
        <x:v>Grant SharePoint / project access</x:v>
      </x:c>
      <x:c r="B9" s="30" t="str">
        <x:v>IT + Manager</x:v>
      </x:c>
      <x:c r="C9" s="30" t="str">
        <x:v>Day 1</x:v>
      </x:c>
      <x:c r="D9" s="30" t="str">
        <x:v>Yes</x:v>
      </x:c>
      <x:c r="E9" s="30" t="str">
        <x:v>Manager approval</x:v>
      </x:c>
      <x:c r="F9" s="30" t="str">
        <x:v>Applies least privilege</x:v>
      </x:c>
      <x:c r="G9" s="30"/>
      <x:c r="H9" s="30" t="str">
        <x:v>Remove or reassign software licences</x:v>
      </x:c>
      <x:c r="I9" s="30" t="str">
        <x:v>IT</x:v>
      </x:c>
      <x:c r="J9" s="30" t="str">
        <x:v>Departure</x:v>
      </x:c>
      <x:c r="K9" s="30" t="str">
        <x:v>Yes</x:v>
      </x:c>
      <x:c r="L9" s="30" t="str">
        <x:v>Licence reclaimed</x:v>
      </x:c>
      <x:c r="M9" s="30" t="str">
        <x:v>Reduces cost</x:v>
      </x:c>
    </x:row>
    <x:row r="10">
      <x:c r="A10" s="30" t="str">
        <x:v>Configure Outlook / Teams / OneDrive</x:v>
      </x:c>
      <x:c r="B10" s="30" t="str">
        <x:v>IT</x:v>
      </x:c>
      <x:c r="C10" s="30" t="str">
        <x:v>Day 1</x:v>
      </x:c>
      <x:c r="D10" s="30" t="str">
        <x:v>Yes</x:v>
      </x:c>
      <x:c r="E10" s="30" t="str">
        <x:v>Setup confirmed</x:v>
      </x:c>
      <x:c r="F10" s="30" t="str">
        <x:v>Reduces first-day support issues</x:v>
      </x:c>
      <x:c r="G10" s="30"/>
      <x:c r="H10" s="30" t="str">
        <x:v>Transfer business data / mailbox if approved</x:v>
      </x:c>
      <x:c r="I10" s="30" t="str">
        <x:v>IT + Manager</x:v>
      </x:c>
      <x:c r="J10" s="30" t="str">
        <x:v>Departure</x:v>
      </x:c>
      <x:c r="K10" s="30" t="str">
        <x:v>If required</x:v>
      </x:c>
      <x:c r="L10" s="30" t="str">
        <x:v>Approval record</x:v>
      </x:c>
      <x:c r="M10" s="30" t="str">
        <x:v>Business continuity</x:v>
      </x:c>
    </x:row>
    <x:row r="11">
      <x:c r="A11" s="30" t="str">
        <x:v>Cybersecurity induction</x:v>
      </x:c>
      <x:c r="B11" s="30" t="str">
        <x:v>IT / Admin</x:v>
      </x:c>
      <x:c r="C11" s="30" t="str">
        <x:v>Week 1</x:v>
      </x:c>
      <x:c r="D11" s="30" t="str">
        <x:v>Yes</x:v>
      </x:c>
      <x:c r="E11" s="30" t="str">
        <x:v>Completion record</x:v>
      </x:c>
      <x:c r="F11" s="30" t="str">
        <x:v>Builds security awareness</x:v>
      </x:c>
      <x:c r="G11" s="30"/>
      <x:c r="H11" s="30" t="str">
        <x:v>Wipe / reimage returned device</x:v>
      </x:c>
      <x:c r="I11" s="30" t="str">
        <x:v>IT</x:v>
      </x:c>
      <x:c r="J11" s="30" t="str">
        <x:v>After return</x:v>
      </x:c>
      <x:c r="K11" s="30" t="str">
        <x:v>Yes</x:v>
      </x:c>
      <x:c r="L11" s="30" t="str">
        <x:v>Device ready</x:v>
      </x:c>
      <x:c r="M11" s="30" t="str">
        <x:v>Prepares secure reuse</x:v>
      </x:c>
    </x:row>
    <x:row r="12">
      <x:c r="A12" s="30" t="str">
        <x:v>Confirm setup with employee</x:v>
      </x:c>
      <x:c r="B12" s="30" t="str">
        <x:v>IT</x:v>
      </x:c>
      <x:c r="C12" s="30" t="str">
        <x:v>Week 1</x:v>
      </x:c>
      <x:c r="D12" s="30" t="str">
        <x:v>Yes</x:v>
      </x:c>
      <x:c r="E12" s="30" t="str">
        <x:v>Starter sign-off</x:v>
      </x:c>
      <x:c r="F12" s="30" t="str">
        <x:v>Ensures readiness</x:v>
      </x:c>
      <x:c r="G12" s="30"/>
      <x:c r="H12" s="30" t="str">
        <x:v>Close offboarding checklist</x:v>
      </x:c>
      <x:c r="I12" s="30" t="str">
        <x:v>IT + Manager</x:v>
      </x:c>
      <x:c r="J12" s="30" t="str">
        <x:v>Within 2 days</x:v>
      </x:c>
      <x:c r="K12" s="30" t="str">
        <x:v>Yes</x:v>
      </x:c>
      <x:c r="L12" s="30" t="str">
        <x:v>Final sign-off</x:v>
      </x:c>
      <x:c r="M12" s="30" t="str">
        <x:v>Confirms no outstanding access</x:v>
      </x:c>
    </x:row>
    <x:row r="15" ht="28" customHeight="1">
      <x:c r="A15" s="82" t="str">
        <x:v>Workflow_ID</x:v>
      </x:c>
      <x:c r="B15" s="82" t="str">
        <x:v>Employee_ID</x:v>
      </x:c>
      <x:c r="C15" s="82" t="str">
        <x:v>Employee_Name</x:v>
      </x:c>
      <x:c r="D15" s="82" t="str">
        <x:v>Process_Type</x:v>
      </x:c>
      <x:c r="E15" s="82" t="str">
        <x:v>Effective_Date</x:v>
      </x:c>
      <x:c r="F15" s="82" t="str">
        <x:v>Laptop_Allocated</x:v>
      </x:c>
      <x:c r="G15" s="82" t="str">
        <x:v>Email_Account</x:v>
      </x:c>
      <x:c r="H15" s="82" t="str">
        <x:v>M365_Licence</x:v>
      </x:c>
      <x:c r="I15" s="82" t="str">
        <x:v>MFA</x:v>
      </x:c>
      <x:c r="J15" s="82" t="str">
        <x:v>SharePoint_Access</x:v>
      </x:c>
      <x:c r="K15" s="82" t="str">
        <x:v>Teams_OneDrive</x:v>
      </x:c>
      <x:c r="L15" s="82" t="str">
        <x:v>Cyber_Induction</x:v>
      </x:c>
      <x:c r="M15" s="82" t="str">
        <x:v>Manager_Approval</x:v>
      </x:c>
      <x:c r="N15" s="82" t="str">
        <x:v>Hardware_Returned</x:v>
      </x:c>
      <x:c r="O15" s="82" t="str">
        <x:v>Account_Disabled</x:v>
      </x:c>
      <x:c r="P15" s="82" t="str">
        <x:v>Completion_Percent</x:v>
      </x:c>
      <x:c r="Q15" s="82" t="str">
        <x:v>Workflow_Status</x:v>
      </x:c>
      <x:c r="R15" s="82" t="str">
        <x:v>Owner</x:v>
      </x:c>
    </x:row>
    <x:row r="16">
      <x:c r="A16" s="30" t="str">
        <x:v>LIFE-001</x:v>
      </x:c>
      <x:c r="B16" s="30" t="str">
        <x:v>UE029</x:v>
      </x:c>
      <x:c r="C16" s="30" t="str">
        <x:f>IFERROR(VLOOKUP(B16,Employee_Master!$A$2:$N$31,2,FALSE),"")</x:f>
        <x:v>Demo Employee 29</x:v>
      </x:c>
      <x:c r="D16" s="30" t="str">
        <x:v>Onboarding</x:v>
      </x:c>
      <x:c r="E16" s="35" t="n">
        <x:v>46274</x:v>
      </x:c>
      <x:c r="F16" s="30" t="str">
        <x:v>Complete</x:v>
      </x:c>
      <x:c r="G16" s="30" t="str">
        <x:v>Complete</x:v>
      </x:c>
      <x:c r="H16" s="30" t="str">
        <x:v>Complete</x:v>
      </x:c>
      <x:c r="I16" s="30" t="str">
        <x:v>Complete</x:v>
      </x:c>
      <x:c r="J16" s="30" t="str">
        <x:v>Pending</x:v>
      </x:c>
      <x:c r="K16" s="30" t="str">
        <x:v>Pending</x:v>
      </x:c>
      <x:c r="L16" s="30" t="str">
        <x:v>Pending</x:v>
      </x:c>
      <x:c r="M16" s="30" t="str">
        <x:v>Complete</x:v>
      </x:c>
      <x:c r="N16" s="30" t="str">
        <x:v>N/A</x:v>
      </x:c>
      <x:c r="O16" s="30" t="str">
        <x:v>N/A</x:v>
      </x:c>
      <x:c r="P16" s="84" t="n">
        <x:f>(COUNTIF(F16:O16,"Complete")+COUNTIF(F16:O16,"N/A"))/COUNTA(F16:O16)</x:f>
        <x:v>0.7</x:v>
      </x:c>
      <x:c r="Q16" s="30" t="str">
        <x:f>IF(P16=1,"Complete",IF(P16&gt;=0.7,"In Progress","Not Started"))</x:f>
        <x:v>In Progress</x:v>
      </x:c>
      <x:c r="R16" s="30" t="str">
        <x:v>UE030</x:v>
      </x:c>
    </x:row>
    <x:row r="17">
      <x:c r="A17" s="30" t="str">
        <x:v>LIFE-002</x:v>
      </x:c>
      <x:c r="B17" s="30" t="str">
        <x:v>UE027</x:v>
      </x:c>
      <x:c r="C17" s="30" t="str">
        <x:f>IFERROR(VLOOKUP(B17,Employee_Master!$A$2:$N$31,2,FALSE),"")</x:f>
        <x:v>Demo Employee 27</x:v>
      </x:c>
      <x:c r="D17" s="30" t="str">
        <x:v>Onboarding</x:v>
      </x:c>
      <x:c r="E17" s="35" t="n">
        <x:v>46209</x:v>
      </x:c>
      <x:c r="F17" s="30" t="str">
        <x:v>Complete</x:v>
      </x:c>
      <x:c r="G17" s="30" t="str">
        <x:v>Complete</x:v>
      </x:c>
      <x:c r="H17" s="30" t="str">
        <x:v>Complete</x:v>
      </x:c>
      <x:c r="I17" s="30" t="str">
        <x:v>Complete</x:v>
      </x:c>
      <x:c r="J17" s="30" t="str">
        <x:v>Complete</x:v>
      </x:c>
      <x:c r="K17" s="30" t="str">
        <x:v>Complete</x:v>
      </x:c>
      <x:c r="L17" s="30" t="str">
        <x:v>Complete</x:v>
      </x:c>
      <x:c r="M17" s="30" t="str">
        <x:v>Complete</x:v>
      </x:c>
      <x:c r="N17" s="30" t="str">
        <x:v>N/A</x:v>
      </x:c>
      <x:c r="O17" s="30" t="str">
        <x:v>N/A</x:v>
      </x:c>
      <x:c r="P17" s="84" t="n">
        <x:f>(COUNTIF(F17:O17,"Complete")+COUNTIF(F17:O17,"N/A"))/COUNTA(F17:O17)</x:f>
        <x:v>1</x:v>
      </x:c>
      <x:c r="Q17" s="30" t="str">
        <x:f>IF(P17=1,"Complete",IF(P17&gt;=0.7,"In Progress","Not Started"))</x:f>
        <x:v>Complete</x:v>
      </x:c>
      <x:c r="R17" s="30" t="str">
        <x:v>UE030</x:v>
      </x:c>
    </x:row>
    <x:row r="18">
      <x:c r="A18" s="30" t="str">
        <x:v>LIFE-003</x:v>
      </x:c>
      <x:c r="B18" s="30" t="str">
        <x:v>UE024</x:v>
      </x:c>
      <x:c r="C18" s="30" t="str">
        <x:f>IFERROR(VLOOKUP(B18,Employee_Master!$A$2:$N$31,2,FALSE),"")</x:f>
        <x:v>Demo Employee 24</x:v>
      </x:c>
      <x:c r="D18" s="30" t="str">
        <x:v>Access Review</x:v>
      </x:c>
      <x:c r="E18" s="35" t="n">
        <x:v>46254</x:v>
      </x:c>
      <x:c r="F18" s="30" t="str">
        <x:v>N/A</x:v>
      </x:c>
      <x:c r="G18" s="30" t="str">
        <x:v>N/A</x:v>
      </x:c>
      <x:c r="H18" s="30" t="str">
        <x:v>N/A</x:v>
      </x:c>
      <x:c r="I18" s="30" t="str">
        <x:v>Complete</x:v>
      </x:c>
      <x:c r="J18" s="30" t="str">
        <x:v>Complete</x:v>
      </x:c>
      <x:c r="K18" s="30" t="str">
        <x:v>N/A</x:v>
      </x:c>
      <x:c r="L18" s="30" t="str">
        <x:v>N/A</x:v>
      </x:c>
      <x:c r="M18" s="30" t="str">
        <x:v>Complete</x:v>
      </x:c>
      <x:c r="N18" s="30" t="str">
        <x:v>N/A</x:v>
      </x:c>
      <x:c r="O18" s="30" t="str">
        <x:v>N/A</x:v>
      </x:c>
      <x:c r="P18" s="84" t="n">
        <x:f>(COUNTIF(F18:O18,"Complete")+COUNTIF(F18:O18,"N/A"))/COUNTA(F18:O18)</x:f>
        <x:v>1</x:v>
      </x:c>
      <x:c r="Q18" s="30" t="str">
        <x:f>IF(P18=1,"Complete",IF(P18&gt;=0.7,"In Progress","Not Started"))</x:f>
        <x:v>Complete</x:v>
      </x:c>
      <x:c r="R18" s="30" t="str">
        <x:v>UE030</x:v>
      </x:c>
    </x:row>
    <x:row r="19">
      <x:c r="A19" s="30" t="str">
        <x:v>LIFE-004</x:v>
      </x:c>
      <x:c r="B19" s="30" t="str">
        <x:v>UE010</x:v>
      </x:c>
      <x:c r="C19" s="30" t="str">
        <x:f>IFERROR(VLOOKUP(B19,Employee_Master!$A$2:$N$31,2,FALSE),"")</x:f>
        <x:v>Demo Employee 10</x:v>
      </x:c>
      <x:c r="D19" s="30" t="str">
        <x:v>Device Change</x:v>
      </x:c>
      <x:c r="E19" s="35" t="n">
        <x:v>46252</x:v>
      </x:c>
      <x:c r="F19" s="30" t="str">
        <x:v>Complete</x:v>
      </x:c>
      <x:c r="G19" s="30" t="str">
        <x:v>Complete</x:v>
      </x:c>
      <x:c r="H19" s="30" t="str">
        <x:v>Complete</x:v>
      </x:c>
      <x:c r="I19" s="30" t="str">
        <x:v>Complete</x:v>
      </x:c>
      <x:c r="J19" s="30" t="str">
        <x:v>N/A</x:v>
      </x:c>
      <x:c r="K19" s="30" t="str">
        <x:v>Complete</x:v>
      </x:c>
      <x:c r="L19" s="30" t="str">
        <x:v>N/A</x:v>
      </x:c>
      <x:c r="M19" s="30" t="str">
        <x:v>Complete</x:v>
      </x:c>
      <x:c r="N19" s="30" t="str">
        <x:v>Complete</x:v>
      </x:c>
      <x:c r="O19" s="30" t="str">
        <x:v>N/A</x:v>
      </x:c>
      <x:c r="P19" s="84" t="n">
        <x:f>(COUNTIF(F19:O19,"Complete")+COUNTIF(F19:O19,"N/A"))/COUNTA(F19:O19)</x:f>
        <x:v>1</x:v>
      </x:c>
      <x:c r="Q19" s="30" t="str">
        <x:f>IF(P19=1,"Complete",IF(P19&gt;=0.7,"In Progress","Not Started"))</x:f>
        <x:v>Complete</x:v>
      </x:c>
      <x:c r="R19" s="30" t="str">
        <x:v>UE030</x:v>
      </x:c>
    </x:row>
  </x:sheetData>
  <x:mergeCells>
    <x:mergeCell ref="A1:F1"/>
  </x:mergeCells>
  <x:conditionalFormatting sqref="Q16:Q19">
    <x:cfRule type="expression" dxfId="19" priority="1">
      <x:formula>Q16="In Progress"</x:formula>
    </x:cfRule>
    <x:cfRule type="expression" dxfId="20" priority="2">
      <x:formula>Q16="Complete"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34" hidden="0" customWidth="1"/>
    <x:col min="5" max="5" width="54" hidden="0" customWidth="1"/>
    <x:col min="6" max="6" width="38" hidden="0" customWidth="1"/>
    <x:col min="7" max="7" width="12" hidden="0" customWidth="1"/>
    <x:col min="8" max="8" width="11.880000114440918" hidden="0" customWidth="1"/>
    <x:col min="9" max="9" width="14" hidden="0" customWidth="1"/>
  </x:cols>
  <x:sheetData>
    <x:row r="1" ht="28" customHeight="1">
      <x:c r="A1" s="78" t="str">
        <x:v>Urban Edge SA — IT Knowledge Base | Demonstration Project — Mock Data Only</x:v>
      </x:c>
      <x:c r="B1" s="78"/>
      <x:c r="C1" s="78"/>
      <x:c r="D1" s="78"/>
      <x:c r="E1" s="78"/>
      <x:c r="F1" s="78"/>
      <x:c r="G1" s="78"/>
      <x:c r="H1" s="78"/>
      <x:c r="I1" s="78"/>
    </x:row>
    <x:row r="2" ht="28" customHeight="1">
      <x:c r="A2" s="82" t="str">
        <x:v>Article_ID</x:v>
      </x:c>
      <x:c r="B2" s="82" t="str">
        <x:v>Title</x:v>
      </x:c>
      <x:c r="C2" s="82" t="str">
        <x:v>Category</x:v>
      </x:c>
      <x:c r="D2" s="82" t="str">
        <x:v>Typical_Symptoms</x:v>
      </x:c>
      <x:c r="E2" s="82" t="str">
        <x:v>Quick_Resolution_Steps</x:v>
      </x:c>
      <x:c r="F2" s="82" t="str">
        <x:v>Escalate_When</x:v>
      </x:c>
      <x:c r="G2" s="82" t="str">
        <x:v>Owner</x:v>
      </x:c>
      <x:c r="H2" s="82" t="str">
        <x:v>Last_Reviewed</x:v>
      </x:c>
      <x:c r="I2" s="82" t="str">
        <x:v>Status</x:v>
      </x:c>
    </x:row>
    <x:row r="3">
      <x:c r="A3" s="30" t="str">
        <x:v>KB-001</x:v>
      </x:c>
      <x:c r="B3" s="30" t="str">
        <x:v>Outlook not syncing</x:v>
      </x:c>
      <x:c r="C3" s="30" t="str">
        <x:v>Microsoft 365</x:v>
      </x:c>
      <x:c r="D3" s="30" t="str">
        <x:v>New mail not appearing / send-receive errors</x:v>
      </x:c>
      <x:c r="E3" s="30" t="str">
        <x:v>Check internet → confirm service status → re-authenticate → rebuild Outlook profile if required</x:v>
      </x:c>
      <x:c r="F3" s="30" t="str">
        <x:v>Mailbox/service outage or repeated profile corruption</x:v>
      </x:c>
      <x:c r="G3" s="30" t="str">
        <x:v>UE030</x:v>
      </x:c>
      <x:c r="H3" s="35" t="n">
        <x:v>46235</x:v>
      </x:c>
      <x:c r="I3" s="30" t="str">
        <x:v>Published</x:v>
      </x:c>
    </x:row>
    <x:row r="4">
      <x:c r="A4" s="30" t="str">
        <x:v>KB-002</x:v>
      </x:c>
      <x:c r="B4" s="30" t="str">
        <x:v>OneDrive sync issue</x:v>
      </x:c>
      <x:c r="C4" s="30" t="str">
        <x:v>Microsoft 365</x:v>
      </x:c>
      <x:c r="D4" s="30" t="str">
        <x:v>Red sync icon / project files not updating</x:v>
      </x:c>
      <x:c r="E4" s="30" t="str">
        <x:v>Pause/resume sync → verify sign-in → check filename/path → reset OneDrive</x:v>
      </x:c>
      <x:c r="F4" s="30" t="str">
        <x:v>Large-scale sync failure or possible data loss</x:v>
      </x:c>
      <x:c r="G4" s="30" t="str">
        <x:v>UE030</x:v>
      </x:c>
      <x:c r="H4" s="35" t="n">
        <x:v>46236</x:v>
      </x:c>
      <x:c r="I4" s="30" t="str">
        <x:v>Published</x:v>
      </x:c>
    </x:row>
    <x:row r="5">
      <x:c r="A5" s="30" t="str">
        <x:v>KB-003</x:v>
      </x:c>
      <x:c r="B5" s="30" t="str">
        <x:v>Teams microphone not detected</x:v>
      </x:c>
      <x:c r="C5" s="30" t="str">
        <x:v>Microsoft 365</x:v>
      </x:c>
      <x:c r="D5" s="30" t="str">
        <x:v>User cannot be heard in Teams</x:v>
      </x:c>
      <x:c r="E5" s="30" t="str">
        <x:v>Check Windows input → Teams device settings → privacy permissions → restart Teams</x:v>
      </x:c>
      <x:c r="F5" s="30" t="str">
        <x:v>Hardware remains unavailable in other apps</x:v>
      </x:c>
      <x:c r="G5" s="30" t="str">
        <x:v>UE030</x:v>
      </x:c>
      <x:c r="H5" s="35" t="n">
        <x:v>46237</x:v>
      </x:c>
      <x:c r="I5" s="30" t="str">
        <x:v>Published</x:v>
      </x:c>
    </x:row>
    <x:row r="6">
      <x:c r="A6" s="30" t="str">
        <x:v>KB-004</x:v>
      </x:c>
      <x:c r="B6" s="30" t="str">
        <x:v>Teams camera problem</x:v>
      </x:c>
      <x:c r="C6" s="30" t="str">
        <x:v>Microsoft 365</x:v>
      </x:c>
      <x:c r="D6" s="30" t="str">
        <x:v>Camera unavailable / black image</x:v>
      </x:c>
      <x:c r="E6" s="30" t="str">
        <x:v>Close other camera apps → check permissions → select correct device → restart</x:v>
      </x:c>
      <x:c r="F6" s="30" t="str">
        <x:v>Camera fails at OS level</x:v>
      </x:c>
      <x:c r="G6" s="30" t="str">
        <x:v>UE030</x:v>
      </x:c>
      <x:c r="H6" s="35" t="n">
        <x:v>46238</x:v>
      </x:c>
      <x:c r="I6" s="30" t="str">
        <x:v>Published</x:v>
      </x:c>
    </x:row>
    <x:row r="7">
      <x:c r="A7" s="30" t="str">
        <x:v>KB-005</x:v>
      </x:c>
      <x:c r="B7" s="30" t="str">
        <x:v>Password reset</x:v>
      </x:c>
      <x:c r="C7" s="30" t="str">
        <x:v>Access &amp; Permissions</x:v>
      </x:c>
      <x:c r="D7" s="30" t="str">
        <x:v>User cannot sign in</x:v>
      </x:c>
      <x:c r="E7" s="30" t="str">
        <x:v>Verify identity → reset password → force new password → confirm sign-in</x:v>
      </x:c>
      <x:c r="F7" s="30" t="str">
        <x:v>Suspicious sign-in or repeated lockout</x:v>
      </x:c>
      <x:c r="G7" s="30" t="str">
        <x:v>UE030</x:v>
      </x:c>
      <x:c r="H7" s="35" t="n">
        <x:v>46239</x:v>
      </x:c>
      <x:c r="I7" s="30" t="str">
        <x:v>Published</x:v>
      </x:c>
    </x:row>
    <x:row r="8">
      <x:c r="A8" s="30" t="str">
        <x:v>KB-006</x:v>
      </x:c>
      <x:c r="B8" s="30" t="str">
        <x:v>Account locked out</x:v>
      </x:c>
      <x:c r="C8" s="30" t="str">
        <x:v>Access &amp; Permissions</x:v>
      </x:c>
      <x:c r="D8" s="30" t="str">
        <x:v>Too many password attempts</x:v>
      </x:c>
      <x:c r="E8" s="30" t="str">
        <x:v>Verify user → unlock/reset → check saved credentials on devices</x:v>
      </x:c>
      <x:c r="F8" s="30" t="str">
        <x:v>Lockout immediately returns</x:v>
      </x:c>
      <x:c r="G8" s="30" t="str">
        <x:v>UE030</x:v>
      </x:c>
      <x:c r="H8" s="35" t="n">
        <x:v>46240</x:v>
      </x:c>
      <x:c r="I8" s="30" t="str">
        <x:v>Published</x:v>
      </x:c>
    </x:row>
    <x:row r="9">
      <x:c r="A9" s="30" t="str">
        <x:v>KB-007</x:v>
      </x:c>
      <x:c r="B9" s="30" t="str">
        <x:v>SharePoint folder access</x:v>
      </x:c>
      <x:c r="C9" s="30" t="str">
        <x:v>Access &amp; Permissions</x:v>
      </x:c>
      <x:c r="D9" s="30" t="str">
        <x:v>Access denied to project folder</x:v>
      </x:c>
      <x:c r="E9" s="30" t="str">
        <x:v>Confirm manager approval → verify group membership → grant minimum required access</x:v>
      </x:c>
      <x:c r="F9" s="30" t="str">
        <x:v>Sensitive access request lacks approval</x:v>
      </x:c>
      <x:c r="G9" s="30" t="str">
        <x:v>UE030</x:v>
      </x:c>
      <x:c r="H9" s="35" t="n">
        <x:v>46241</x:v>
      </x:c>
      <x:c r="I9" s="30" t="str">
        <x:v>Published</x:v>
      </x:c>
    </x:row>
    <x:row r="10">
      <x:c r="A10" s="30" t="str">
        <x:v>KB-008</x:v>
      </x:c>
      <x:c r="B10" s="30" t="str">
        <x:v>MFA registration / reset</x:v>
      </x:c>
      <x:c r="C10" s="30" t="str">
        <x:v>Access &amp; Permissions</x:v>
      </x:c>
      <x:c r="D10" s="30" t="str">
        <x:v>Authenticator prompt cannot complete</x:v>
      </x:c>
      <x:c r="E10" s="30" t="str">
        <x:v>Verify identity → remove stale method → re-register Authenticator → test</x:v>
      </x:c>
      <x:c r="F10" s="30" t="str">
        <x:v>Possible account compromise</x:v>
      </x:c>
      <x:c r="G10" s="30" t="str">
        <x:v>UE030</x:v>
      </x:c>
      <x:c r="H10" s="35" t="n">
        <x:v>46242</x:v>
      </x:c>
      <x:c r="I10" s="30" t="str">
        <x:v>Published</x:v>
      </x:c>
    </x:row>
    <x:row r="11">
      <x:c r="A11" s="30" t="str">
        <x:v>KB-009</x:v>
      </x:c>
      <x:c r="B11" s="30" t="str">
        <x:v>Printer offline</x:v>
      </x:c>
      <x:c r="C11" s="30" t="str">
        <x:v>Printer &amp; Scanner</x:v>
      </x:c>
      <x:c r="D11" s="30" t="str">
        <x:v>Printer shows offline / jobs stuck</x:v>
      </x:c>
      <x:c r="E11" s="30" t="str">
        <x:v>Check power/network → clear queue → restart spooler → reconnect printer</x:v>
      </x:c>
      <x:c r="F11" s="30" t="str">
        <x:v>Multiple users affected or hardware fault</x:v>
      </x:c>
      <x:c r="G11" s="30" t="str">
        <x:v>UE030</x:v>
      </x:c>
      <x:c r="H11" s="35" t="n">
        <x:v>46243</x:v>
      </x:c>
      <x:c r="I11" s="30" t="str">
        <x:v>Published</x:v>
      </x:c>
    </x:row>
    <x:row r="12">
      <x:c r="A12" s="30" t="str">
        <x:v>KB-010</x:v>
      </x:c>
      <x:c r="B12" s="30" t="str">
        <x:v>Scan to email failure</x:v>
      </x:c>
      <x:c r="C12" s="30" t="str">
        <x:v>Printer &amp; Scanner</x:v>
      </x:c>
      <x:c r="D12" s="30" t="str">
        <x:v>Scanner cannot send email</x:v>
      </x:c>
      <x:c r="E12" s="30" t="str">
        <x:v>Check network → SMTP/service settings → test destination → restart</x:v>
      </x:c>
      <x:c r="F12" s="30" t="str">
        <x:v>Device-wide issue persists</x:v>
      </x:c>
      <x:c r="G12" s="30" t="str">
        <x:v>UE030</x:v>
      </x:c>
      <x:c r="H12" s="35" t="n">
        <x:v>46244</x:v>
      </x:c>
      <x:c r="I12" s="30" t="str">
        <x:v>Published</x:v>
      </x:c>
    </x:row>
    <x:row r="13">
      <x:c r="A13" s="30" t="str">
        <x:v>KB-011</x:v>
      </x:c>
      <x:c r="B13" s="30" t="str">
        <x:v>Slow Windows laptop</x:v>
      </x:c>
      <x:c r="C13" s="30" t="str">
        <x:v>Hardware</x:v>
      </x:c>
      <x:c r="D13" s="30" t="str">
        <x:v>Long startup / applications lag</x:v>
      </x:c>
      <x:c r="E13" s="30" t="str">
        <x:v>Check disk/CPU → install updates → remove startup bloat → restart</x:v>
      </x:c>
      <x:c r="F13" s="30" t="str">
        <x:v>Disk/SMART errors or hardware failure</x:v>
      </x:c>
      <x:c r="G13" s="30" t="str">
        <x:v>UE030</x:v>
      </x:c>
      <x:c r="H13" s="35" t="n">
        <x:v>46245</x:v>
      </x:c>
      <x:c r="I13" s="30" t="str">
        <x:v>Published</x:v>
      </x:c>
    </x:row>
    <x:row r="14">
      <x:c r="A14" s="30" t="str">
        <x:v>KB-012</x:v>
      </x:c>
      <x:c r="B14" s="30" t="str">
        <x:v>Docking station not detected</x:v>
      </x:c>
      <x:c r="C14" s="30" t="str">
        <x:v>Hardware</x:v>
      </x:c>
      <x:c r="D14" s="30" t="str">
        <x:v>External screens / USB fail</x:v>
      </x:c>
      <x:c r="E14" s="30" t="str">
        <x:v>Reseat dock → power cycle → update dock/USB drivers → test alternate port</x:v>
      </x:c>
      <x:c r="F14" s="30" t="str">
        <x:v>Dock fails on second device</x:v>
      </x:c>
      <x:c r="G14" s="30" t="str">
        <x:v>UE030</x:v>
      </x:c>
      <x:c r="H14" s="35" t="n">
        <x:v>46246</x:v>
      </x:c>
      <x:c r="I14" s="30" t="str">
        <x:v>Published</x:v>
      </x:c>
    </x:row>
    <x:row r="15">
      <x:c r="A15" s="30" t="str">
        <x:v>KB-013</x:v>
      </x:c>
      <x:c r="B15" s="30" t="str">
        <x:v>Second monitor not detected</x:v>
      </x:c>
      <x:c r="C15" s="30" t="str">
        <x:v>Hardware</x:v>
      </x:c>
      <x:c r="D15" s="30" t="str">
        <x:v>Display missing</x:v>
      </x:c>
      <x:c r="E15" s="30" t="str">
        <x:v>Check cable/input → Windows display detect → driver update → test cable</x:v>
      </x:c>
      <x:c r="F15" s="30" t="str">
        <x:v>GPU/dock hardware failure</x:v>
      </x:c>
      <x:c r="G15" s="30" t="str">
        <x:v>UE030</x:v>
      </x:c>
      <x:c r="H15" s="35" t="n">
        <x:v>46247</x:v>
      </x:c>
      <x:c r="I15" s="30" t="str">
        <x:v>Published</x:v>
      </x:c>
    </x:row>
    <x:row r="16">
      <x:c r="A16" s="30" t="str">
        <x:v>KB-014</x:v>
      </x:c>
      <x:c r="B16" s="30" t="str">
        <x:v>PDF drawings opening slowly</x:v>
      </x:c>
      <x:c r="C16" s="30" t="str">
        <x:v>Software</x:v>
      </x:c>
      <x:c r="D16" s="30" t="str">
        <x:v>Large construction drawings lag</x:v>
      </x:c>
      <x:c r="E16" s="30" t="str">
        <x:v>Update PDF app → local test copy → clear temp files → check file size</x:v>
      </x:c>
      <x:c r="F16" s="30" t="str">
        <x:v>File corruption or repeated issue across users</x:v>
      </x:c>
      <x:c r="G16" s="30" t="str">
        <x:v>UE030</x:v>
      </x:c>
      <x:c r="H16" s="35" t="n">
        <x:v>46248</x:v>
      </x:c>
      <x:c r="I16" s="30" t="str">
        <x:v>Published</x:v>
      </x:c>
    </x:row>
    <x:row r="17">
      <x:c r="A17" s="30" t="str">
        <x:v>KB-015</x:v>
      </x:c>
      <x:c r="B17" s="30" t="str">
        <x:v>Approved software installation</x:v>
      </x:c>
      <x:c r="C17" s="30" t="str">
        <x:v>Software</x:v>
      </x:c>
      <x:c r="D17" s="30" t="str">
        <x:v>User requires authorised application</x:v>
      </x:c>
      <x:c r="E17" s="30" t="str">
        <x:v>Confirm approval/licence → install from trusted source → document licence/device</x:v>
      </x:c>
      <x:c r="F17" s="30" t="str">
        <x:v>Unknown/unapproved software requested</x:v>
      </x:c>
      <x:c r="G17" s="30" t="str">
        <x:v>UE030</x:v>
      </x:c>
      <x:c r="H17" s="35" t="n">
        <x:v>46249</x:v>
      </x:c>
      <x:c r="I17" s="30" t="str">
        <x:v>Published</x:v>
      </x:c>
    </x:row>
    <x:row r="18">
      <x:c r="A18" s="30" t="str">
        <x:v>KB-016</x:v>
      </x:c>
      <x:c r="B18" s="30" t="str">
        <x:v>Office Wi-Fi connectivity</x:v>
      </x:c>
      <x:c r="C18" s="30" t="str">
        <x:v>Network &amp; Wi-Fi</x:v>
      </x:c>
      <x:c r="D18" s="30" t="str">
        <x:v>Cannot connect / drops frequently</x:v>
      </x:c>
      <x:c r="E18" s="30" t="str">
        <x:v>Forget/rejoin network → confirm IP → restart adapter → test nearby users</x:v>
      </x:c>
      <x:c r="F18" s="30" t="str">
        <x:v>Multiple users/site outage</x:v>
      </x:c>
      <x:c r="G18" s="30" t="str">
        <x:v>UE030</x:v>
      </x:c>
      <x:c r="H18" s="35" t="n">
        <x:v>46250</x:v>
      </x:c>
      <x:c r="I18" s="30" t="str">
        <x:v>Published</x:v>
      </x:c>
    </x:row>
    <x:row r="19">
      <x:c r="A19" s="30" t="str">
        <x:v>KB-017</x:v>
      </x:c>
      <x:c r="B19" s="30" t="str">
        <x:v>Site internet connectivity</x:v>
      </x:c>
      <x:c r="C19" s="30" t="str">
        <x:v>Network &amp; Wi-Fi</x:v>
      </x:c>
      <x:c r="D19" s="30" t="str">
        <x:v>Poor connectivity at project site</x:v>
      </x:c>
      <x:c r="E19" s="30" t="str">
        <x:v>Check mobile/site service → test hotspot → validate device → log carrier/vendor fault</x:v>
      </x:c>
      <x:c r="F19" s="30" t="str">
        <x:v>Site-wide prolonged outage</x:v>
      </x:c>
      <x:c r="G19" s="30" t="str">
        <x:v>UE030</x:v>
      </x:c>
      <x:c r="H19" s="35" t="n">
        <x:v>46251</x:v>
      </x:c>
      <x:c r="I19" s="30" t="str">
        <x:v>Published</x:v>
      </x:c>
    </x:row>
    <x:row r="20">
      <x:c r="A20" s="30" t="str">
        <x:v>KB-018</x:v>
      </x:c>
      <x:c r="B20" s="30" t="str">
        <x:v>DNS / internet access check</x:v>
      </x:c>
      <x:c r="C20" s="30" t="str">
        <x:v>Network &amp; Wi-Fi</x:v>
      </x:c>
      <x:c r="D20" s="30" t="str">
        <x:v>Connected to Wi-Fi but websites fail</x:v>
      </x:c>
      <x:c r="E20" s="30" t="str">
        <x:v>Check IP/gateway → ping gateway → DNS test → renew connection</x:v>
      </x:c>
      <x:c r="F20" s="30" t="str">
        <x:v>Business-wide network issue</x:v>
      </x:c>
      <x:c r="G20" s="30" t="str">
        <x:v>UE030</x:v>
      </x:c>
      <x:c r="H20" s="35" t="n">
        <x:v>46252</x:v>
      </x:c>
      <x:c r="I20" s="30" t="str">
        <x:v>Published</x:v>
      </x:c>
    </x:row>
    <x:row r="21">
      <x:c r="A21" s="30" t="str">
        <x:v>KB-019</x:v>
      </x:c>
      <x:c r="B21" s="30" t="str">
        <x:v>Suspicious email / phishing</x:v>
      </x:c>
      <x:c r="C21" s="30" t="str">
        <x:v>Cybersecurity</x:v>
      </x:c>
      <x:c r="D21" s="30" t="str">
        <x:v>Unexpected link, attachment or login request</x:v>
      </x:c>
      <x:c r="E21" s="30" t="str">
        <x:v>Do not click → report → inspect sender/headers → block/delete → reset credentials if interacted</x:v>
      </x:c>
      <x:c r="F21" s="30" t="str">
        <x:v>User clicked or entered credentials</x:v>
      </x:c>
      <x:c r="G21" s="30" t="str">
        <x:v>UE030</x:v>
      </x:c>
      <x:c r="H21" s="35" t="n">
        <x:v>46253</x:v>
      </x:c>
      <x:c r="I21" s="30" t="str">
        <x:v>Published</x:v>
      </x:c>
    </x:row>
    <x:row r="22">
      <x:c r="A22" s="30" t="str">
        <x:v>KB-020</x:v>
      </x:c>
      <x:c r="B22" s="30" t="str">
        <x:v>Defender alert response</x:v>
      </x:c>
      <x:c r="C22" s="30" t="str">
        <x:v>Cybersecurity</x:v>
      </x:c>
      <x:c r="D22" s="30" t="str">
        <x:v>Microsoft Defender warning</x:v>
      </x:c>
      <x:c r="E22" s="30" t="str">
        <x:v>Isolate if required → run scan → review alert → remove/quarantine → document</x:v>
      </x:c>
      <x:c r="F22" s="30" t="str">
        <x:v>Malware confirmed or lateral impact suspected</x:v>
      </x:c>
      <x:c r="G22" s="30" t="str">
        <x:v>UE030</x:v>
      </x:c>
      <x:c r="H22" s="35" t="n">
        <x:v>46254</x:v>
      </x:c>
      <x:c r="I22" s="30" t="str">
        <x:v>Published</x:v>
      </x:c>
    </x:row>
    <x:row r="23">
      <x:c r="A23" s="30" t="str">
        <x:v>KB-021</x:v>
      </x:c>
      <x:c r="B23" s="30" t="str">
        <x:v>Lost company device</x:v>
      </x:c>
      <x:c r="C23" s="30" t="str">
        <x:v>Cybersecurity</x:v>
      </x:c>
      <x:c r="D23" s="30" t="str">
        <x:v>Laptop/phone reported lost</x:v>
      </x:c>
      <x:c r="E23" s="30" t="str">
        <x:v>Record incident → disable sessions → remote lock/wipe where available → notify manager</x:v>
      </x:c>
      <x:c r="F23" s="30" t="str">
        <x:v>Sensitive data exposure possible</x:v>
      </x:c>
      <x:c r="G23" s="30" t="str">
        <x:v>UE030</x:v>
      </x:c>
      <x:c r="H23" s="35" t="n">
        <x:v>46255</x:v>
      </x:c>
      <x:c r="I23" s="30" t="str">
        <x:v>Published</x:v>
      </x:c>
    </x:row>
    <x:row r="24">
      <x:c r="A24" s="30" t="str">
        <x:v>KB-022</x:v>
      </x:c>
      <x:c r="B24" s="30" t="str">
        <x:v>Company mobile email setup</x:v>
      </x:c>
      <x:c r="C24" s="30" t="str">
        <x:v>Mobile Device</x:v>
      </x:c>
      <x:c r="D24" s="30" t="str">
        <x:v>Outlook/Teams unavailable on phone</x:v>
      </x:c>
      <x:c r="E24" s="30" t="str">
        <x:v>Install approved apps → sign in → register MFA → apply device controls</x:v>
      </x:c>
      <x:c r="F24" s="30" t="str">
        <x:v>Device cannot meet policy</x:v>
      </x:c>
      <x:c r="G24" s="30" t="str">
        <x:v>UE030</x:v>
      </x:c>
      <x:c r="H24" s="35" t="n">
        <x:v>46256</x:v>
      </x:c>
      <x:c r="I24" s="30" t="str">
        <x:v>Published</x:v>
      </x:c>
    </x:row>
    <x:row r="25">
      <x:c r="A25" s="30" t="str">
        <x:v>KB-023</x:v>
      </x:c>
      <x:c r="B25" s="30" t="str">
        <x:v>Authenticator on replacement phone</x:v>
      </x:c>
      <x:c r="C25" s="30" t="str">
        <x:v>Mobile Device</x:v>
      </x:c>
      <x:c r="D25" s="30" t="str">
        <x:v>New phone cannot approve MFA</x:v>
      </x:c>
      <x:c r="E25" s="30" t="str">
        <x:v>Verify identity → register new method → test → remove old method</x:v>
      </x:c>
      <x:c r="F25" s="30" t="str">
        <x:v>Old device lost/stolen</x:v>
      </x:c>
      <x:c r="G25" s="30" t="str">
        <x:v>UE030</x:v>
      </x:c>
      <x:c r="H25" s="35" t="n">
        <x:v>46257</x:v>
      </x:c>
      <x:c r="I25" s="30" t="str">
        <x:v>Published</x:v>
      </x:c>
    </x:row>
    <x:row r="26">
      <x:c r="A26" s="30" t="str">
        <x:v>KB-024</x:v>
      </x:c>
      <x:c r="B26" s="30" t="str">
        <x:v>Project folder permission request</x:v>
      </x:c>
      <x:c r="C26" s="30" t="str">
        <x:v>Access &amp; Permissions</x:v>
      </x:c>
      <x:c r="D26" s="30" t="str">
        <x:v>Employee needs another site/project folder</x:v>
      </x:c>
      <x:c r="E26" s="30" t="str">
        <x:v>Obtain manager approval → add to correct group → set review date → confirm access</x:v>
      </x:c>
      <x:c r="F26" s="30" t="str">
        <x:v>Cross-project sensitive access</x:v>
      </x:c>
      <x:c r="G26" s="30" t="str">
        <x:v>UE030</x:v>
      </x:c>
      <x:c r="H26" s="35" t="n">
        <x:v>46258</x:v>
      </x:c>
      <x:c r="I26" s="30" t="str">
        <x:v>Published</x:v>
      </x:c>
    </x:row>
    <x:row r="27">
      <x:c r="A27" s="30" t="str">
        <x:v>KB-025</x:v>
      </x:c>
      <x:c r="B27" s="30" t="str">
        <x:v>New starter IT setup</x:v>
      </x:c>
      <x:c r="C27" s="30" t="str">
        <x:v>Administration</x:v>
      </x:c>
      <x:c r="D27" s="30" t="str">
        <x:v>New employee commencing</x:v>
      </x:c>
      <x:c r="E27" s="30" t="str">
        <x:v>Complete onboarding checklist → assign asset → create account/licence → MFA → access → induction</x:v>
      </x:c>
      <x:c r="F27" s="30" t="str">
        <x:v>Starter details/approval incomplete</x:v>
      </x:c>
      <x:c r="G27" s="30" t="str">
        <x:v>UE030</x:v>
      </x:c>
      <x:c r="H27" s="35" t="n">
        <x:v>46259</x:v>
      </x:c>
      <x:c r="I27" s="30" t="str">
        <x:v>Published</x:v>
      </x:c>
    </x:row>
    <x:row r="28">
      <x:c r="A28" s="30" t="str">
        <x:v>KB-026</x:v>
      </x:c>
      <x:c r="B28" s="30" t="str">
        <x:v>Laptop will not power on</x:v>
      </x:c>
      <x:c r="C28" s="30" t="str">
        <x:v>Hardware</x:v>
      </x:c>
      <x:c r="D28" s="30" t="str">
        <x:v>Laptop shows no power, no boot, or no charging response</x:v>
      </x:c>
      <x:c r="E28" s="30" t="str">
        <x:v>Check charger/power point → disconnect peripherals → hold power reset → test known-good charger/dock → inspect indicator lights</x:v>
      </x:c>
      <x:c r="F28" s="30" t="str">
        <x:v>Battery, motherboard, charging-port fault, liquid damage, or device still will not power on</x:v>
      </x:c>
      <x:c r="G28" s="30" t="str">
        <x:v>UE030</x:v>
      </x:c>
      <x:c r="H28" s="35" t="n">
        <x:v>46270</x:v>
      </x:c>
      <x:c r="I28" s="30" t="str">
        <x:v>Published</x:v>
      </x:c>
    </x:row>
    <x:row r="29">
      <x:c r="A29" s="30" t="str">
        <x:v>KB-027</x:v>
      </x:c>
      <x:c r="B29" s="30" t="str">
        <x:v>Internal web application not loading</x:v>
      </x:c>
      <x:c r="C29" s="30" t="str">
        <x:v>Software</x:v>
      </x:c>
      <x:c r="D29" s="30" t="str">
        <x:v>Approved internal web application fails to open or displays an error</x:v>
      </x:c>
      <x:c r="E29" s="30" t="str">
        <x:v>Confirm internet → test another browser/incognito → clear cache → check URL/service status → test another user/device</x:v>
      </x:c>
      <x:c r="F29" s="30" t="str">
        <x:v>Multiple users affected, application service outage, or permissions/backend issue suspected</x:v>
      </x:c>
      <x:c r="G29" s="30" t="str">
        <x:v>UE030</x:v>
      </x:c>
      <x:c r="H29" s="35" t="n">
        <x:v>46270</x:v>
      </x:c>
      <x:c r="I29" s="30" t="str">
        <x:v>Published</x:v>
      </x:c>
    </x:row>
    <x:row r="30">
      <x:c r="A30" s="30" t="str">
        <x:v>KB-028</x:v>
      </x:c>
      <x:c r="B30" s="30" t="str">
        <x:v>Site photos not uploading from company mobile</x:v>
      </x:c>
      <x:c r="C30" s="30" t="str">
        <x:v>Mobile Device</x:v>
      </x:c>
      <x:c r="D30" s="30" t="str">
        <x:v>Site photos remain pending, fail to upload, or mobile storage is full</x:v>
      </x:c>
      <x:c r="E30" s="30" t="str">
        <x:v>Check signal/Wi-Fi → confirm app sign-in → check available storage → retry smaller batch → restart app/device</x:v>
      </x:c>
      <x:c r="F30" s="30" t="str">
        <x:v>Possible application outage, device-management restriction, or risk of losing site photos</x:v>
      </x:c>
      <x:c r="G30" s="30" t="str">
        <x:v>UE030</x:v>
      </x:c>
      <x:c r="H30" s="35" t="n">
        <x:v>46270</x:v>
      </x:c>
      <x:c r="I30" s="30" t="str">
        <x:v>Published</x:v>
      </x:c>
    </x:row>
    <x:row r="31">
      <x:c r="A31" s="30" t="str">
        <x:v>KB-029</x:v>
      </x:c>
      <x:c r="B31" s="30" t="str">
        <x:v>SharePoint page not loading correctly</x:v>
      </x:c>
      <x:c r="C31" s="30" t="str">
        <x:v>Microsoft 365</x:v>
      </x:c>
      <x:c r="D31" s="30" t="str">
        <x:v>SharePoint site is blank, slow, partially loaded, or returns an error</x:v>
      </x:c>
      <x:c r="E31" s="30" t="str">
        <x:v>Check Microsoft 365 service status → test browser/incognito → clear cache → confirm site permission → test another user</x:v>
      </x:c>
      <x:c r="F31" s="30" t="str">
        <x:v>Multiple users/sites affected or Microsoft 365 service issue suspected</x:v>
      </x:c>
      <x:c r="G31" s="30" t="str">
        <x:v>UE030</x:v>
      </x:c>
      <x:c r="H31" s="35" t="n">
        <x:v>46270</x:v>
      </x:c>
      <x:c r="I31" s="30" t="str">
        <x:v>Published</x:v>
      </x:c>
    </x:row>
    <x:row r="32">
      <x:c r="A32" s="30" t="str">
        <x:v>KB-030</x:v>
      </x:c>
      <x:c r="B32" s="30" t="str">
        <x:v>Scanner cannot save to shared folder</x:v>
      </x:c>
      <x:c r="C32" s="30" t="str">
        <x:v>Printer &amp; Scanner</x:v>
      </x:c>
      <x:c r="D32" s="30" t="str">
        <x:v>Scan completes but file does not appear in the network/shared destination</x:v>
      </x:c>
      <x:c r="E32" s="30" t="str">
        <x:v>Confirm network → verify shared-folder path → test permissions → confirm saved credentials → restart scanner and retry</x:v>
      </x:c>
      <x:c r="F32" s="30" t="str">
        <x:v>Multiple scan destinations fail, permissions cannot be validated, or device/network fault persists</x:v>
      </x:c>
      <x:c r="G32" s="30" t="str">
        <x:v>UE030</x:v>
      </x:c>
      <x:c r="H32" s="35" t="n">
        <x:v>46270</x:v>
      </x:c>
      <x:c r="I32" s="30" t="str">
        <x:v>Published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ace3dfb8cd50438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32" hidden="0" customWidth="1"/>
    <x:col min="5" max="5" width="9.380000114440918" hidden="0" customWidth="1"/>
    <x:col min="6" max="6" width="8.75" hidden="0" customWidth="1"/>
    <x:col min="7" max="7" width="34" hidden="0" customWidth="1"/>
    <x:col min="8" max="8" width="46" hidden="0" customWidth="1"/>
    <x:col min="9" max="9" width="12" hidden="0" customWidth="1"/>
    <x:col min="10" max="10" width="10.130000114440918" hidden="0" customWidth="1"/>
    <x:col min="11" max="11" width="14" hidden="0" customWidth="1"/>
    <x:col min="12" max="12" width="28" hidden="0" customWidth="1"/>
  </x:cols>
  <x:sheetData>
    <x:row r="1" ht="28" customHeight="1">
      <x:c r="A1" s="78" t="str">
        <x:v>Urban Edge SA — IT Security Health Check | Demonstration Project — Mock Data Only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</x:row>
    <x:row r="2" ht="28" customHeight="1">
      <x:c r="A2" s="82" t="str">
        <x:v>Control_ID</x:v>
      </x:c>
      <x:c r="B2" s="82" t="str">
        <x:v>Security_Area</x:v>
      </x:c>
      <x:c r="C2" s="82" t="str">
        <x:v>Control</x:v>
      </x:c>
      <x:c r="D2" s="82" t="str">
        <x:v>Current_State</x:v>
      </x:c>
      <x:c r="E2" s="82" t="str">
        <x:v>Risk_Rating</x:v>
      </x:c>
      <x:c r="F2" s="82" t="str">
        <x:v>Risk_Score</x:v>
      </x:c>
      <x:c r="G2" s="82" t="str">
        <x:v>Target_State</x:v>
      </x:c>
      <x:c r="H2" s="82" t="str">
        <x:v>Recommendation</x:v>
      </x:c>
      <x:c r="I2" s="82" t="str">
        <x:v>Owner</x:v>
      </x:c>
      <x:c r="J2" s="82" t="str">
        <x:v>Target_Date</x:v>
      </x:c>
      <x:c r="K2" s="82" t="str">
        <x:v>Status</x:v>
      </x:c>
      <x:c r="L2" s="82" t="str">
        <x:v>Evidence_or_Metric</x:v>
      </x:c>
    </x:row>
    <x:row r="3">
      <x:c r="A3" s="30" t="str">
        <x:v>SEC-001</x:v>
      </x:c>
      <x:c r="B3" s="30" t="str">
        <x:v>Identity</x:v>
      </x:c>
      <x:c r="C3" s="30" t="str">
        <x:v>MFA coverage</x:v>
      </x:c>
      <x:c r="D3" s="30" t="str">
        <x:v>92% of users enabled</x:v>
      </x:c>
      <x:c r="E3" s="30" t="str">
        <x:v>Medium</x:v>
      </x:c>
      <x:c r="F3" s="30" t="n">
        <x:f>IF(E3="High",3,IF(E3="Medium",2,1))</x:f>
        <x:v>2</x:v>
      </x:c>
      <x:c r="G3" s="30" t="str">
        <x:v>100% coverage</x:v>
      </x:c>
      <x:c r="H3" s="30" t="str">
        <x:v>Enable MFA for every interactive user and privileged account</x:v>
      </x:c>
      <x:c r="I3" s="30" t="str">
        <x:v>UE030</x:v>
      </x:c>
      <x:c r="J3" s="35" t="n">
        <x:v>46283</x:v>
      </x:c>
      <x:c r="K3" s="30" t="str">
        <x:v>In Progress</x:v>
      </x:c>
      <x:c r="L3" s="30" t="str">
        <x:v>Employee master demo coverage</x:v>
      </x:c>
    </x:row>
    <x:row r="4">
      <x:c r="A4" s="30" t="str">
        <x:v>SEC-002</x:v>
      </x:c>
      <x:c r="B4" s="30" t="str">
        <x:v>Endpoint</x:v>
      </x:c>
      <x:c r="C4" s="30" t="str">
        <x:v>Device encryption</x:v>
      </x:c>
      <x:c r="D4" s="30" t="str">
        <x:v>3 laptops not encrypted</x:v>
      </x:c>
      <x:c r="E4" s="30" t="str">
        <x:v>High</x:v>
      </x:c>
      <x:c r="F4" s="30" t="n">
        <x:f>IF(E4="High",3,IF(E4="Medium",2,1))</x:f>
        <x:v>3</x:v>
      </x:c>
      <x:c r="G4" s="30" t="str">
        <x:v>100% company laptops encrypted</x:v>
      </x:c>
      <x:c r="H4" s="30" t="str">
        <x:v>Enable BitLocker and escrow recovery keys</x:v>
      </x:c>
      <x:c r="I4" s="30" t="str">
        <x:v>UE030</x:v>
      </x:c>
      <x:c r="J4" s="35" t="n">
        <x:v>46277</x:v>
      </x:c>
      <x:c r="K4" s="30" t="str">
        <x:v>Open</x:v>
      </x:c>
      <x:c r="L4" s="30" t="str">
        <x:v>Asset register demo exceptions</x:v>
      </x:c>
    </x:row>
    <x:row r="5">
      <x:c r="A5" s="30" t="str">
        <x:v>SEC-003</x:v>
      </x:c>
      <x:c r="B5" s="30" t="str">
        <x:v>Endpoint</x:v>
      </x:c>
      <x:c r="C5" s="30" t="str">
        <x:v>Endpoint protection</x:v>
      </x:c>
      <x:c r="D5" s="30" t="str">
        <x:v>2 devices require attention</x:v>
      </x:c>
      <x:c r="E5" s="30" t="str">
        <x:v>High</x:v>
      </x:c>
      <x:c r="F5" s="30" t="n">
        <x:f>IF(E5="High",3,IF(E5="Medium",2,1))</x:f>
        <x:v>3</x:v>
      </x:c>
      <x:c r="G5" s="30" t="str">
        <x:v>All active devices healthy</x:v>
      </x:c>
      <x:c r="H5" s="30" t="str">
        <x:v>Investigate Defender alerts and confirm remediation</x:v>
      </x:c>
      <x:c r="I5" s="30" t="str">
        <x:v>UE030</x:v>
      </x:c>
      <x:c r="J5" s="35" t="n">
        <x:v>46275</x:v>
      </x:c>
      <x:c r="K5" s="30" t="str">
        <x:v>Open</x:v>
      </x:c>
      <x:c r="L5" s="30" t="str">
        <x:v>Asset register Defender status</x:v>
      </x:c>
    </x:row>
    <x:row r="6">
      <x:c r="A6" s="30" t="str">
        <x:v>SEC-004</x:v>
      </x:c>
      <x:c r="B6" s="30" t="str">
        <x:v>Endpoint</x:v>
      </x:c>
      <x:c r="C6" s="30" t="str">
        <x:v>Patch compliance</x:v>
      </x:c>
      <x:c r="D6" s="30" t="str">
        <x:v>4 laptops overdue</x:v>
      </x:c>
      <x:c r="E6" s="30" t="str">
        <x:v>Medium</x:v>
      </x:c>
      <x:c r="F6" s="30" t="n">
        <x:f>IF(E6="High",3,IF(E6="Medium",2,1))</x:f>
        <x:v>2</x:v>
      </x:c>
      <x:c r="G6" s="30" t="str">
        <x:v>&gt;=95% current within policy</x:v>
      </x:c>
      <x:c r="H6" s="30" t="str">
        <x:v>Create patching cadence and exception follow-up</x:v>
      </x:c>
      <x:c r="I6" s="30" t="str">
        <x:v>UE029</x:v>
      </x:c>
      <x:c r="J6" s="35" t="n">
        <x:v>46284</x:v>
      </x:c>
      <x:c r="K6" s="30" t="str">
        <x:v>Open</x:v>
      </x:c>
      <x:c r="L6" s="30" t="str">
        <x:v>Asset register patch status</x:v>
      </x:c>
    </x:row>
    <x:row r="7">
      <x:c r="A7" s="30" t="str">
        <x:v>SEC-005</x:v>
      </x:c>
      <x:c r="B7" s="30" t="str">
        <x:v>Identity</x:v>
      </x:c>
      <x:c r="C7" s="30" t="str">
        <x:v>Privileged access</x:v>
      </x:c>
      <x:c r="D7" s="30" t="str">
        <x:v>Admin access exists for IT accounts</x:v>
      </x:c>
      <x:c r="E7" s="30" t="str">
        <x:v>Medium</x:v>
      </x:c>
      <x:c r="F7" s="30" t="n">
        <x:f>IF(E7="High",3,IF(E7="Medium",2,1))</x:f>
        <x:v>2</x:v>
      </x:c>
      <x:c r="G7" s="30" t="str">
        <x:v>Named admin accounts with MFA and review</x:v>
      </x:c>
      <x:c r="H7" s="30" t="str">
        <x:v>Separate privileged/admin use and review quarterly</x:v>
      </x:c>
      <x:c r="I7" s="30" t="str">
        <x:v>UE003</x:v>
      </x:c>
      <x:c r="J7" s="35" t="n">
        <x:v>46296</x:v>
      </x:c>
      <x:c r="K7" s="30" t="str">
        <x:v>Planned</x:v>
      </x:c>
      <x:c r="L7" s="30" t="str">
        <x:v>Access register</x:v>
      </x:c>
    </x:row>
    <x:row r="8">
      <x:c r="A8" s="30" t="str">
        <x:v>SEC-006</x:v>
      </x:c>
      <x:c r="B8" s="30" t="str">
        <x:v>Access</x:v>
      </x:c>
      <x:c r="C8" s="30" t="str">
        <x:v>Access reviews</x:v>
      </x:c>
      <x:c r="D8" s="30" t="str">
        <x:v>Several reviews overdue</x:v>
      </x:c>
      <x:c r="E8" s="30" t="str">
        <x:v>High</x:v>
      </x:c>
      <x:c r="F8" s="30" t="n">
        <x:f>IF(E8="High",3,IF(E8="Medium",2,1))</x:f>
        <x:v>3</x:v>
      </x:c>
      <x:c r="G8" s="30" t="str">
        <x:v>No overdue high-risk access</x:v>
      </x:c>
      <x:c r="H8" s="30" t="str">
        <x:v>Run monthly overdue review and quarterly full review</x:v>
      </x:c>
      <x:c r="I8" s="30" t="str">
        <x:v>UE029</x:v>
      </x:c>
      <x:c r="J8" s="35" t="n">
        <x:v>46280</x:v>
      </x:c>
      <x:c r="K8" s="30" t="str">
        <x:v>Open</x:v>
      </x:c>
      <x:c r="L8" s="30" t="str">
        <x:v>Access register</x:v>
      </x:c>
    </x:row>
    <x:row r="9">
      <x:c r="A9" s="30" t="str">
        <x:v>SEC-007</x:v>
      </x:c>
      <x:c r="B9" s="30" t="str">
        <x:v>Access</x:v>
      </x:c>
      <x:c r="C9" s="30" t="str">
        <x:v>Least privilege</x:v>
      </x:c>
      <x:c r="D9" s="30" t="str">
        <x:v>3 demo exceptions marked Review</x:v>
      </x:c>
      <x:c r="E9" s="30" t="str">
        <x:v>High</x:v>
      </x:c>
      <x:c r="F9" s="30" t="n">
        <x:f>IF(E9="High",3,IF(E9="Medium",2,1))</x:f>
        <x:v>3</x:v>
      </x:c>
      <x:c r="G9" s="30" t="str">
        <x:v>All access justified and current</x:v>
      </x:c>
      <x:c r="H9" s="30" t="str">
        <x:v>Validate exceptions with managers and remove unnecessary rights</x:v>
      </x:c>
      <x:c r="I9" s="30" t="str">
        <x:v>UE029</x:v>
      </x:c>
      <x:c r="J9" s="35" t="n">
        <x:v>46281</x:v>
      </x:c>
      <x:c r="K9" s="30" t="str">
        <x:v>Open</x:v>
      </x:c>
      <x:c r="L9" s="30" t="str">
        <x:v>Access register</x:v>
      </x:c>
    </x:row>
    <x:row r="10">
      <x:c r="A10" s="30" t="str">
        <x:v>SEC-008</x:v>
      </x:c>
      <x:c r="B10" s="30" t="str">
        <x:v>Email</x:v>
      </x:c>
      <x:c r="C10" s="30" t="str">
        <x:v>Phishing awareness</x:v>
      </x:c>
      <x:c r="D10" s="30" t="str">
        <x:v>Training not centrally tracked</x:v>
      </x:c>
      <x:c r="E10" s="30" t="str">
        <x:v>Medium</x:v>
      </x:c>
      <x:c r="F10" s="30" t="n">
        <x:f>IF(E10="High",3,IF(E10="Medium",2,1))</x:f>
        <x:v>2</x:v>
      </x:c>
      <x:c r="G10" s="30" t="str">
        <x:v>Annual training + reporting process</x:v>
      </x:c>
      <x:c r="H10" s="30" t="str">
        <x:v>Record completion and publish phishing reporting guide</x:v>
      </x:c>
      <x:c r="I10" s="30" t="str">
        <x:v>UE003</x:v>
      </x:c>
      <x:c r="J10" s="35" t="n">
        <x:v>46310</x:v>
      </x:c>
      <x:c r="K10" s="30" t="str">
        <x:v>Planned</x:v>
      </x:c>
      <x:c r="L10" s="30" t="str">
        <x:v>Knowledge base</x:v>
      </x:c>
    </x:row>
    <x:row r="11">
      <x:c r="A11" s="30" t="str">
        <x:v>SEC-009</x:v>
      </x:c>
      <x:c r="B11" s="30" t="str">
        <x:v>Backup</x:v>
      </x:c>
      <x:c r="C11" s="30" t="str">
        <x:v>Backup monitoring</x:v>
      </x:c>
      <x:c r="D11" s="30" t="str">
        <x:v>Backup exists; restore test not documented</x:v>
      </x:c>
      <x:c r="E11" s="30" t="str">
        <x:v>High</x:v>
      </x:c>
      <x:c r="F11" s="30" t="n">
        <x:f>IF(E11="High",3,IF(E11="Medium",2,1))</x:f>
        <x:v>3</x:v>
      </x:c>
      <x:c r="G11" s="30" t="str">
        <x:v>Scheduled backups + quarterly restore test</x:v>
      </x:c>
      <x:c r="H11" s="30" t="str">
        <x:v>Document backup owner, retention and restore testing</x:v>
      </x:c>
      <x:c r="I11" s="30" t="str">
        <x:v>UE030</x:v>
      </x:c>
      <x:c r="J11" s="35" t="n">
        <x:v>46295</x:v>
      </x:c>
      <x:c r="K11" s="30" t="str">
        <x:v>Open</x:v>
      </x:c>
      <x:c r="L11" s="30" t="str">
        <x:v>Demo control review</x:v>
      </x:c>
    </x:row>
    <x:row r="12">
      <x:c r="A12" s="30" t="str">
        <x:v>SEC-010</x:v>
      </x:c>
      <x:c r="B12" s="30" t="str">
        <x:v>Accounts</x:v>
      </x:c>
      <x:c r="C12" s="30" t="str">
        <x:v>Leaver process</x:v>
      </x:c>
      <x:c r="D12" s="30" t="str">
        <x:v>Checklist exists but no automated trigger</x:v>
      </x:c>
      <x:c r="E12" s="30" t="str">
        <x:v>Medium</x:v>
      </x:c>
      <x:c r="F12" s="30" t="n">
        <x:f>IF(E12="High",3,IF(E12="Medium",2,1))</x:f>
        <x:v>2</x:v>
      </x:c>
      <x:c r="G12" s="30" t="str">
        <x:v>Same-day disable on approved leaver notice</x:v>
      </x:c>
      <x:c r="H12" s="30" t="str">
        <x:v>Use controlled offboarding checklist and audit completion</x:v>
      </x:c>
      <x:c r="I12" s="30" t="str">
        <x:v>UE029</x:v>
      </x:c>
      <x:c r="J12" s="35" t="n">
        <x:v>46296</x:v>
      </x:c>
      <x:c r="K12" s="30" t="str">
        <x:v>Planned</x:v>
      </x:c>
      <x:c r="L12" s="30" t="str">
        <x:v>Lifecycle checklist</x:v>
      </x:c>
    </x:row>
    <x:row r="13">
      <x:c r="A13" s="30" t="str">
        <x:v>SEC-011</x:v>
      </x:c>
      <x:c r="B13" s="30" t="str">
        <x:v>Data</x:v>
      </x:c>
      <x:c r="C13" s="30" t="str">
        <x:v>External sharing</x:v>
      </x:c>
      <x:c r="D13" s="30" t="str">
        <x:v>SharePoint sharing rules not reviewed</x:v>
      </x:c>
      <x:c r="E13" s="30" t="str">
        <x:v>Medium</x:v>
      </x:c>
      <x:c r="F13" s="30" t="n">
        <x:f>IF(E13="High",3,IF(E13="Medium",2,1))</x:f>
        <x:v>2</x:v>
      </x:c>
      <x:c r="G13" s="30" t="str">
        <x:v>External sharing limited and reviewed</x:v>
      </x:c>
      <x:c r="H13" s="30" t="str">
        <x:v>Review external links and apply expiry where possible</x:v>
      </x:c>
      <x:c r="I13" s="30" t="str">
        <x:v>UE030</x:v>
      </x:c>
      <x:c r="J13" s="35" t="n">
        <x:v>46302</x:v>
      </x:c>
      <x:c r="K13" s="30" t="str">
        <x:v>Planned</x:v>
      </x:c>
      <x:c r="L13" s="30" t="str">
        <x:v>Demo control review</x:v>
      </x:c>
    </x:row>
    <x:row r="14">
      <x:c r="A14" s="30" t="str">
        <x:v>SEC-012</x:v>
      </x:c>
      <x:c r="B14" s="30" t="str">
        <x:v>Assets</x:v>
      </x:c>
      <x:c r="C14" s="30" t="str">
        <x:v>Asset inventory</x:v>
      </x:c>
      <x:c r="D14" s="30" t="str">
        <x:v>Central register established</x:v>
      </x:c>
      <x:c r="E14" s="30" t="str">
        <x:v>Low</x:v>
      </x:c>
      <x:c r="F14" s="30" t="n">
        <x:f>IF(E14="High",3,IF(E14="Medium",2,1))</x:f>
        <x:v>1</x:v>
      </x:c>
      <x:c r="G14" s="30" t="str">
        <x:v>&gt;=98% asset ownership accuracy</x:v>
      </x:c>
      <x:c r="H14" s="30" t="str">
        <x:v>Quarterly physical/owner reconciliation</x:v>
      </x:c>
      <x:c r="I14" s="30" t="str">
        <x:v>UE029</x:v>
      </x:c>
      <x:c r="J14" s="35" t="n">
        <x:v>46357</x:v>
      </x:c>
      <x:c r="K14" s="30" t="str">
        <x:v>In Progress</x:v>
      </x:c>
      <x:c r="L14" s="30" t="str">
        <x:v>Asset register</x:v>
      </x:c>
    </x:row>
    <x:row r="15">
      <x:c r="A15" s="30" t="str">
        <x:v>SEC-013</x:v>
      </x:c>
      <x:c r="B15" s="30" t="str">
        <x:v>Software</x:v>
      </x:c>
      <x:c r="C15" s="30" t="str">
        <x:v>Licence management</x:v>
      </x:c>
      <x:c r="D15" s="30" t="str">
        <x:v>Licence allocation recorded at user level</x:v>
      </x:c>
      <x:c r="E15" s="30" t="str">
        <x:v>Low</x:v>
      </x:c>
      <x:c r="F15" s="30" t="n">
        <x:f>IF(E15="High",3,IF(E15="Medium",2,1))</x:f>
        <x:v>1</x:v>
      </x:c>
      <x:c r="G15" s="30" t="str">
        <x:v>Unused licences reclaimed promptly</x:v>
      </x:c>
      <x:c r="H15" s="30" t="str">
        <x:v>Include licence removal in offboarding</x:v>
      </x:c>
      <x:c r="I15" s="30" t="str">
        <x:v>UE029</x:v>
      </x:c>
      <x:c r="J15" s="35" t="n">
        <x:v>46296</x:v>
      </x:c>
      <x:c r="K15" s="30" t="str">
        <x:v>In Progress</x:v>
      </x:c>
      <x:c r="L15" s="30" t="str">
        <x:v>Employee / lifecycle data</x:v>
      </x:c>
    </x:row>
    <x:row r="16">
      <x:c r="A16" s="30" t="str">
        <x:v>SEC-014</x:v>
      </x:c>
      <x:c r="B16" s="30" t="str">
        <x:v>Incident Response</x:v>
      </x:c>
      <x:c r="C16" s="30" t="str">
        <x:v>Security incident process</x:v>
      </x:c>
      <x:c r="D16" s="30" t="str">
        <x:v>Basic escalation only</x:v>
      </x:c>
      <x:c r="E16" s="30" t="str">
        <x:v>Medium</x:v>
      </x:c>
      <x:c r="F16" s="30" t="n">
        <x:f>IF(E16="High",3,IF(E16="Medium",2,1))</x:f>
        <x:v>2</x:v>
      </x:c>
      <x:c r="G16" s="30" t="str">
        <x:v>Documented severity and escalation procedure</x:v>
      </x:c>
      <x:c r="H16" s="30" t="str">
        <x:v>Create one-page incident response flow</x:v>
      </x:c>
      <x:c r="I16" s="30" t="str">
        <x:v>UE030</x:v>
      </x:c>
      <x:c r="J16" s="35" t="n">
        <x:v>46315</x:v>
      </x:c>
      <x:c r="K16" s="30" t="str">
        <x:v>Planned</x:v>
      </x:c>
      <x:c r="L16" s="30" t="str">
        <x:v>KB-019 / KB-020</x:v>
      </x:c>
    </x:row>
    <x:row r="17">
      <x:c r="A17" s="30" t="str">
        <x:v>SEC-015</x:v>
      </x:c>
      <x:c r="B17" s="30" t="str">
        <x:v>Mobile</x:v>
      </x:c>
      <x:c r="C17" s="30" t="str">
        <x:v>Lost-device response</x:v>
      </x:c>
      <x:c r="D17" s="30" t="str">
        <x:v>Process documented in KB only</x:v>
      </x:c>
      <x:c r="E17" s="30" t="str">
        <x:v>Medium</x:v>
      </x:c>
      <x:c r="F17" s="30" t="n">
        <x:f>IF(E17="High",3,IF(E17="Medium",2,1))</x:f>
        <x:v>2</x:v>
      </x:c>
      <x:c r="G17" s="30" t="str">
        <x:v>MDM-supported lock/wipe process tested</x:v>
      </x:c>
      <x:c r="H17" s="30" t="str">
        <x:v>Confirm mobile device management capability and test response</x:v>
      </x:c>
      <x:c r="I17" s="30" t="str">
        <x:v>UE030</x:v>
      </x:c>
      <x:c r="J17" s="35" t="n">
        <x:v>46327</x:v>
      </x:c>
      <x:c r="K17" s="30" t="str">
        <x:v>Planned</x:v>
      </x:c>
      <x:c r="L17" s="30" t="str">
        <x:v>KB-021</x:v>
      </x:c>
    </x:row>
  </x:sheetData>
  <x:mergeCells>
    <x:mergeCell ref="A1:L1"/>
  </x:mergeCells>
  <x:conditionalFormatting sqref="E3:E17">
    <x:cfRule type="expression" dxfId="21" priority="1">
      <x:formula>E3="High"</x:formula>
    </x:cfRule>
    <x:cfRule type="expression" dxfId="22" priority="2">
      <x:formula>E3="Medium"</x:formula>
    </x:cfRule>
    <x:cfRule type="expression" dxfId="23" priority="3">
      <x:formula>E3="Low"</x:formula>
    </x:cfRule>
  </x:conditionalFormatting>
  <x:dataValidations count="1">
    <x:dataValidation type="list" sqref="K3:K17">
      <x:formula1>"Open,In Progress,Planned,Complete"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f3f2d1cb1b4c1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4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8" customHeight="1">
      <x:c r="A1" s="78" t="str">
        <x:v>Urban Edge SA — IT Support &amp; Digital Operations Dashboard | Mock Data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</x:row>
    <x:row r="3">
      <x:c r="A3" s="85" t="str">
        <x:v>Total Tickets</x:v>
      </x:c>
      <x:c r="B3" s="85"/>
      <x:c r="C3" s="85" t="str">
        <x:v>Open / Active</x:v>
      </x:c>
      <x:c r="D3" s="85"/>
      <x:c r="E3" s="85" t="str">
        <x:v>Resolution SLA Met</x:v>
      </x:c>
      <x:c r="F3" s="85"/>
      <x:c r="G3" s="85" t="str">
        <x:v>SLA Breaches</x:v>
      </x:c>
      <x:c r="H3" s="85"/>
      <x:c r="I3" s="85" t="str">
        <x:v>Avg CSAT</x:v>
      </x:c>
      <x:c r="J3" s="85"/>
      <x:c r="K3" s="85" t="str">
        <x:v>Reopened</x:v>
      </x:c>
      <x:c r="L3" s="85"/>
    </x:row>
    <x:row r="4">
      <x:c r="A4" s="89" t="n">
        <x:f>COUNTA(IT_Ticket_Register!A9:A200)</x:f>
        <x:v>50</x:v>
      </x:c>
      <x:c r="B4" s="89"/>
      <x:c r="C4" s="89" t="n">
        <x:f>COUNTIF(IT_Ticket_Register!N9:N200,"New")+COUNTIF(IT_Ticket_Register!N9:N200,"Assigned")+COUNTIF(IT_Ticket_Register!N9:N200,"In Progress")+COUNTIF(IT_Ticket_Register!N9:N200,"Waiting on User")+COUNTIF(IT_Ticket_Register!N9:N200,"Waiting on Vendor")</x:f>
        <x:v>8</x:v>
      </x:c>
      <x:c r="D4" s="89"/>
      <x:c r="E4" s="89" t="n">
        <x:f>COUNTIF(IT_Ticket_Register!W9:W200,"Met")</x:f>
        <x:v>26</x:v>
      </x:c>
      <x:c r="F4" s="89"/>
      <x:c r="G4" s="89" t="n">
        <x:f>COUNTIF(IT_Ticket_Register!W9:W200,"Breached")</x:f>
        <x:v>24</x:v>
      </x:c>
      <x:c r="H4" s="89"/>
      <x:c r="I4" s="90" t="n">
        <x:f>IFERROR(AVERAGE(IT_Ticket_Register!AA9:AA200),0)</x:f>
        <x:v>4.690476190476191</x:v>
      </x:c>
      <x:c r="J4" s="90"/>
      <x:c r="K4" s="89" t="n">
        <x:f>COUNTIF(IT_Ticket_Register!AB9:AB200,"Yes")</x:f>
        <x:v>4</x:v>
      </x:c>
      <x:c r="L4" s="89"/>
    </x:row>
    <x:row r="5">
      <x:c r="A5" s="89"/>
      <x:c r="B5" s="89"/>
      <x:c r="C5" s="89"/>
      <x:c r="D5" s="89"/>
      <x:c r="E5" s="89"/>
      <x:c r="F5" s="89"/>
      <x:c r="G5" s="89"/>
      <x:c r="H5" s="89"/>
      <x:c r="I5" s="90"/>
      <x:c r="J5" s="90"/>
      <x:c r="K5" s="89"/>
      <x:c r="L5" s="89"/>
    </x:row>
    <x:row r="7">
      <x:c r="A7" s="85" t="str">
        <x:v>Total Assets</x:v>
      </x:c>
      <x:c r="B7" s="85"/>
      <x:c r="C7" s="85" t="str">
        <x:v>Asset Compliance</x:v>
      </x:c>
      <x:c r="D7" s="85"/>
      <x:c r="E7" s="85" t="str">
        <x:v>Warranty Attention</x:v>
      </x:c>
      <x:c r="F7" s="85"/>
      <x:c r="G7" s="85" t="str">
        <x:v>Overdue Access Reviews</x:v>
      </x:c>
      <x:c r="H7" s="85"/>
      <x:c r="I7" s="85" t="str">
        <x:v>High Security Risks</x:v>
      </x:c>
      <x:c r="J7" s="85"/>
      <x:c r="K7" s="85" t="str">
        <x:v>UE029 Onboarding</x:v>
      </x:c>
      <x:c r="L7" s="85"/>
    </x:row>
    <x:row r="8">
      <x:c r="A8" s="89" t="n">
        <x:f>COUNTA(Asset_Register!A3:A48)</x:f>
        <x:v>46</x:v>
      </x:c>
      <x:c r="B8" s="89"/>
      <x:c r="C8" s="91" t="n">
        <x:f>IFERROR(COUNTIF(Asset_Register!T3:T48,"Compliant")/COUNTA(Asset_Register!A3:A48),0)</x:f>
        <x:v>0.8043478260869565</x:v>
      </x:c>
      <x:c r="D8" s="91"/>
      <x:c r="E8" s="89" t="n">
        <x:f>COUNTIF(Asset_Register!S3:S48,"Expired")+COUNTIF(Asset_Register!S3:S48,"Expiring &lt;90d")</x:f>
        <x:v>0</x:v>
      </x:c>
      <x:c r="F8" s="89"/>
      <x:c r="G8" s="89" t="n">
        <x:f>COUNTIF(User_Access_Register!K3:K102,"Overdue")</x:f>
        <x:v>4</x:v>
      </x:c>
      <x:c r="H8" s="89"/>
      <x:c r="I8" s="89" t="n">
        <x:f>COUNTIF(Security_Health_Check!E3:E17,"High")</x:f>
        <x:v>5</x:v>
      </x:c>
      <x:c r="J8" s="89"/>
      <x:c r="K8" s="91" t="n">
        <x:f>IFERROR(INDEX(Onboarding_Offboarding!P16:P19,MATCH("UE029",Onboarding_Offboarding!B16:B19,0)),0)</x:f>
        <x:v>0.7</x:v>
      </x:c>
      <x:c r="L8" s="91"/>
    </x:row>
    <x:row r="9">
      <x:c r="A9" s="89"/>
      <x:c r="B9" s="89"/>
      <x:c r="C9" s="91"/>
      <x:c r="D9" s="91"/>
      <x:c r="E9" s="89"/>
      <x:c r="F9" s="89"/>
      <x:c r="G9" s="89"/>
      <x:c r="H9" s="89"/>
      <x:c r="I9" s="89"/>
      <x:c r="J9" s="89"/>
      <x:c r="K9" s="91"/>
      <x:c r="L9" s="91"/>
    </x:row>
    <x:row r="12" ht="28" customHeight="1">
      <x:c r="A12" s="82" t="str">
        <x:v>Ticket Category</x:v>
      </x:c>
      <x:c r="B12" s="82" t="str">
        <x:v>Count</x:v>
      </x:c>
      <x:c r="D12" s="82" t="str">
        <x:v>Priority</x:v>
      </x:c>
      <x:c r="E12" s="82" t="str">
        <x:v>Count</x:v>
      </x:c>
      <x:c r="G12" s="82" t="str">
        <x:v>Resolution SLA</x:v>
      </x:c>
      <x:c r="H12" s="82" t="str">
        <x:v>Count</x:v>
      </x:c>
      <x:c r="J12" s="82" t="str">
        <x:v>Asset Compliance</x:v>
      </x:c>
      <x:c r="K12" s="82" t="str">
        <x:v>Count</x:v>
      </x:c>
    </x:row>
    <x:row r="13">
      <x:c r="A13" t="str">
        <x:v>Microsoft 365</x:v>
      </x:c>
      <x:c r="B13" t="n">
        <x:f>COUNTIF(IT_Ticket_Register!H9:H200,A13)</x:f>
        <x:v>6</x:v>
      </x:c>
      <x:c r="D13" t="str">
        <x:v>P1</x:v>
      </x:c>
      <x:c r="E13" t="n">
        <x:f>COUNTIF(IT_Ticket_Register!M9:M200,D13)</x:f>
        <x:v>1</x:v>
      </x:c>
      <x:c r="G13" t="str">
        <x:v>Met</x:v>
      </x:c>
      <x:c r="H13" t="n">
        <x:f>COUNTIF(IT_Ticket_Register!W9:W200,G13)</x:f>
        <x:v>26</x:v>
      </x:c>
      <x:c r="J13" t="str">
        <x:v>Compliant</x:v>
      </x:c>
      <x:c r="K13" t="n">
        <x:f>COUNTIF(Asset_Register!T3:T48,J13)</x:f>
        <x:v>37</x:v>
      </x:c>
    </x:row>
    <x:row r="14">
      <x:c r="A14" t="str">
        <x:v>Access &amp; Permissions</x:v>
      </x:c>
      <x:c r="B14" t="n">
        <x:f>COUNTIF(IT_Ticket_Register!H9:H200,A14)</x:f>
        <x:v>8</x:v>
      </x:c>
      <x:c r="D14" t="str">
        <x:v>P2</x:v>
      </x:c>
      <x:c r="E14" t="n">
        <x:f>COUNTIF(IT_Ticket_Register!M9:M200,D14)</x:f>
        <x:v>14</x:v>
      </x:c>
      <x:c r="G14" t="str">
        <x:v>Breached</x:v>
      </x:c>
      <x:c r="H14" t="n">
        <x:f>COUNTIF(IT_Ticket_Register!W9:W200,G14)</x:f>
        <x:v>24</x:v>
      </x:c>
      <x:c r="J14" t="str">
        <x:v>Attention</x:v>
      </x:c>
      <x:c r="K14" t="n">
        <x:f>COUNTIF(Asset_Register!T3:T48,J14)</x:f>
        <x:v>9</x:v>
      </x:c>
    </x:row>
    <x:row r="15">
      <x:c r="A15" t="str">
        <x:v>Hardware</x:v>
      </x:c>
      <x:c r="B15" t="n">
        <x:f>COUNTIF(IT_Ticket_Register!H9:H200,A15)</x:f>
        <x:v>8</x:v>
      </x:c>
      <x:c r="D15" t="str">
        <x:v>P3</x:v>
      </x:c>
      <x:c r="E15" t="n">
        <x:f>COUNTIF(IT_Ticket_Register!M9:M200,D15)</x:f>
        <x:v>17</x:v>
      </x:c>
    </x:row>
    <x:row r="16">
      <x:c r="A16" t="str">
        <x:v>Software</x:v>
      </x:c>
      <x:c r="B16" t="n">
        <x:f>COUNTIF(IT_Ticket_Register!H9:H200,A16)</x:f>
        <x:v>6</x:v>
      </x:c>
      <x:c r="D16" t="str">
        <x:v>P4</x:v>
      </x:c>
      <x:c r="E16" t="n">
        <x:f>COUNTIF(IT_Ticket_Register!M9:M200,D16)</x:f>
        <x:v>18</x:v>
      </x:c>
    </x:row>
    <x:row r="17">
      <x:c r="A17" t="str">
        <x:v>Printer &amp; Scanner</x:v>
      </x:c>
      <x:c r="B17" t="n">
        <x:f>COUNTIF(IT_Ticket_Register!H9:H200,A17)</x:f>
        <x:v>5</x:v>
      </x:c>
    </x:row>
    <x:row r="18">
      <x:c r="A18" t="str">
        <x:v>Network &amp; Wi-Fi</x:v>
      </x:c>
      <x:c r="B18" t="n">
        <x:f>COUNTIF(IT_Ticket_Register!H9:H200,A18)</x:f>
        <x:v>5</x:v>
      </x:c>
    </x:row>
    <x:row r="19">
      <x:c r="A19" t="str">
        <x:v>Mobile Device</x:v>
      </x:c>
      <x:c r="B19" t="n">
        <x:f>COUNTIF(IT_Ticket_Register!H9:H200,A19)</x:f>
        <x:v>6</x:v>
      </x:c>
    </x:row>
    <x:row r="20">
      <x:c r="A20" t="str">
        <x:v>Cybersecurity</x:v>
      </x:c>
      <x:c r="B20" t="n">
        <x:f>COUNTIF(IT_Ticket_Register!H9:H200,A20)</x:f>
        <x:v>6</x:v>
      </x:c>
    </x:row>
    <x:row r="22">
      <x:c r="A22" s="92" t="str">
        <x:v>Management Insights Generated From the Mock Dataset</x:v>
      </x:c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</x:row>
    <x:row r="23" ht="28" customHeight="1">
      <x:c r="A23" s="82" t="str">
        <x:v>Insight</x:v>
      </x:c>
      <x:c r="B23" s="82" t="str">
        <x:v>Current Result</x:v>
      </x:c>
      <x:c r="C23" s="82" t="str">
        <x:v>Management Interpretation</x:v>
      </x:c>
    </x:row>
    <x:row r="24">
      <x:c r="A24" s="30" t="str">
        <x:v>Top support category</x:v>
      </x:c>
      <x:c r="B24" s="30" t="str">
        <x:f>INDEX(A13:A20,MATCH(MAX(B13:B20),B13:B20,0))</x:f>
        <x:v>Access &amp; Permissions</x:v>
      </x:c>
      <x:c r="C24" s="30" t="str">
        <x:v>Use recurring-ticket analysis to prioritise self-service knowledge articles.</x:v>
      </x:c>
    </x:row>
    <x:row r="25">
      <x:c r="A25" s="30" t="str">
        <x:v>Open P1 / P2 tickets</x:v>
      </x:c>
      <x:c r="B25" s="30" t="n">
        <x:f>COUNTIFS(IT_Ticket_Register!M9:M200,"P1",IT_Ticket_Register!N9:N200,"&lt;&gt;Closed",IT_Ticket_Register!N9:N200,"&lt;&gt;Resolved")+COUNTIFS(IT_Ticket_Register!M9:M200,"P2",IT_Ticket_Register!N9:N200,"&lt;&gt;Closed",IT_Ticket_Register!N9:N200,"&lt;&gt;Resolved")</x:f>
        <x:v>3</x:v>
      </x:c>
      <x:c r="C25" s="30" t="str">
        <x:v>High-priority unresolved work should be reviewed first.</x:v>
      </x:c>
    </x:row>
    <x:row r="26">
      <x:c r="A26" s="30" t="str">
        <x:v>Assets needing attention</x:v>
      </x:c>
      <x:c r="B26" s="30" t="n">
        <x:f>COUNTIF(Asset_Register!T3:T48,"Attention")</x:f>
        <x:v>9</x:v>
      </x:c>
      <x:c r="C26" s="30" t="str">
        <x:v>Prioritise encryption, Defender and overdue patch exceptions.</x:v>
      </x:c>
    </x:row>
    <x:row r="27">
      <x:c r="A27" s="30" t="str">
        <x:v>Access reviews overdue</x:v>
      </x:c>
      <x:c r="B27" s="30" t="n">
        <x:f>COUNTIF(User_Access_Register!K3:K102,"Overdue")</x:f>
        <x:v>4</x:v>
      </x:c>
      <x:c r="C27" s="30" t="str">
        <x:v>Review overdue access and remove unnecessary rights.</x:v>
      </x:c>
    </x:row>
    <x:row r="28">
      <x:c r="A28" s="30" t="str">
        <x:v>High security risks</x:v>
      </x:c>
      <x:c r="B28" s="30" t="n">
        <x:f>COUNTIF(Security_Health_Check!E3:E17,"High")</x:f>
        <x:v>5</x:v>
      </x:c>
      <x:c r="C28" s="30" t="str">
        <x:v>Treat high-rated controls as the first security improvement queue.</x:v>
      </x:c>
    </x:row>
  </x:sheetData>
  <x:mergeCells>
    <x:mergeCell ref="A1:L1"/>
    <x:mergeCell ref="A3:B3"/>
    <x:mergeCell ref="A4:B5"/>
    <x:mergeCell ref="C3:D3"/>
    <x:mergeCell ref="C4:D5"/>
    <x:mergeCell ref="E3:F3"/>
    <x:mergeCell ref="E4:F5"/>
    <x:mergeCell ref="G3:H3"/>
    <x:mergeCell ref="G4:H5"/>
    <x:mergeCell ref="I3:J3"/>
    <x:mergeCell ref="I4:J5"/>
    <x:mergeCell ref="K3:L3"/>
    <x:mergeCell ref="K4:L5"/>
    <x:mergeCell ref="A7:B7"/>
    <x:mergeCell ref="A8:B9"/>
    <x:mergeCell ref="C7:D7"/>
    <x:mergeCell ref="C8:D9"/>
    <x:mergeCell ref="E7:F7"/>
    <x:mergeCell ref="E8:F9"/>
    <x:mergeCell ref="G7:H7"/>
    <x:mergeCell ref="G8:H9"/>
    <x:mergeCell ref="I7:J7"/>
    <x:mergeCell ref="I8:J9"/>
    <x:mergeCell ref="K7:L7"/>
    <x:mergeCell ref="K8:L9"/>
    <x:mergeCell ref="A22:L22"/>
  </x:mergeCells>
  <x:pageMargins left="0.7" right="0.7" top="0.75" bottom="0.75" header="0.3" footer="0.3"/>
  <x:drawing xmlns:r="http://schemas.openxmlformats.org/officeDocument/2006/relationships" r:id="Ra133cb63c7724efb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8" hidden="0" customWidth="1"/>
    <x:col min="4" max="4" width="44" hidden="0" customWidth="1"/>
    <x:col min="5" max="5" width="32" hidden="0" customWidth="1"/>
    <x:col min="6" max="6" width="12" hidden="0" customWidth="1"/>
    <x:col min="7" max="7" width="18" hidden="0" customWidth="1"/>
    <x:col min="8" max="8" width="16" hidden="0" customWidth="1"/>
    <x:col min="9" max="9" width="30" hidden="0" customWidth="1"/>
    <x:col min="10" max="10" width="16" hidden="0" customWidth="1"/>
  </x:cols>
  <x:sheetData>
    <x:row r="1" ht="28" customHeight="1">
      <x:c r="A1" s="78" t="str">
        <x:v>Urban Edge SA — First 30 Days &amp; IT Improvement Plan | Mock Demonstration</x:v>
      </x:c>
      <x:c r="B1" s="78"/>
      <x:c r="C1" s="78"/>
      <x:c r="D1" s="78"/>
      <x:c r="E1" s="78"/>
      <x:c r="F1" s="78"/>
      <x:c r="G1" s="78"/>
      <x:c r="H1" s="78"/>
      <x:c r="I1" s="78"/>
    </x:row>
    <x:row r="3" ht="28" customHeight="1">
      <x:c r="A3" s="82" t="str">
        <x:v>Week</x:v>
      </x:c>
      <x:c r="B3" s="82" t="str">
        <x:v>Primary Goal</x:v>
      </x:c>
      <x:c r="C3" s="82" t="str">
        <x:v>Actions</x:v>
      </x:c>
      <x:c r="D3" s="82" t="str">
        <x:v>Evidence / Output</x:v>
      </x:c>
      <x:c r="E3" s="82" t="str">
        <x:v>Why It Matters</x:v>
      </x:c>
      <x:c r="F3" s="82" t="str">
        <x:v>Owner</x:v>
      </x:c>
      <x:c r="G3" s="82" t="str">
        <x:v>Target</x:v>
      </x:c>
      <x:c r="H3" s="82" t="str">
        <x:v>Status</x:v>
      </x:c>
      <x:c r="I3" s="82" t="str">
        <x:v>Notes</x:v>
      </x:c>
      <x:c r="J3" s="30"/>
    </x:row>
    <x:row r="4">
      <x:c r="A4" s="30" t="str">
        <x:v>Week 1</x:v>
      </x:c>
      <x:c r="B4" s="30" t="str">
        <x:v>Understand the environment</x:v>
      </x:c>
      <x:c r="C4" s="30" t="str">
        <x:v>Meet key users; review support channels; identify critical systems; confirm escalation contacts</x:v>
      </x:c>
      <x:c r="D4" s="30" t="str">
        <x:v>Current-state notes and issue list</x:v>
      </x:c>
      <x:c r="E4" s="30" t="str">
        <x:v>Avoids changing systems before understanding actual needs</x:v>
      </x:c>
      <x:c r="F4" s="30" t="str">
        <x:v>IT Support Admin</x:v>
      </x:c>
      <x:c r="G4" s="30" t="str">
        <x:v>End of Week 1</x:v>
      </x:c>
      <x:c r="H4" s="30" t="str">
        <x:v>Planned</x:v>
      </x:c>
      <x:c r="I4" s="30" t="str">
        <x:v>Listen first</x:v>
      </x:c>
      <x:c r="J4" s="30"/>
    </x:row>
    <x:row r="5">
      <x:c r="A5" s="30" t="str">
        <x:v>Week 2</x:v>
      </x:c>
      <x:c r="B5" s="30" t="str">
        <x:v>Establish control and documentation</x:v>
      </x:c>
      <x:c r="C5" s="30" t="str">
        <x:v>Reconcile devices; confirm user accounts; review open tickets; map project-folder access</x:v>
      </x:c>
      <x:c r="D5" s="30" t="str">
        <x:v>Validated asset and access registers</x:v>
      </x:c>
      <x:c r="E5" s="30" t="str">
        <x:v>Creates reliable operational visibility</x:v>
      </x:c>
      <x:c r="F5" s="30" t="str">
        <x:v>IT Support Admin</x:v>
      </x:c>
      <x:c r="G5" s="30" t="str">
        <x:v>End of Week 2</x:v>
      </x:c>
      <x:c r="H5" s="30" t="str">
        <x:v>Planned</x:v>
      </x:c>
      <x:c r="I5" s="30" t="str">
        <x:v>Fix obvious ownership gaps</x:v>
      </x:c>
      <x:c r="J5" s="30"/>
    </x:row>
    <x:row r="6">
      <x:c r="A6" s="30" t="str">
        <x:v>Week 3</x:v>
      </x:c>
      <x:c r="B6" s="30" t="str">
        <x:v>Deliver quick wins</x:v>
      </x:c>
      <x:c r="C6" s="30" t="str">
        <x:v>Close recurring issues; publish 3–5 knowledge articles; resolve overdue access reviews; improve onboarding checklist</x:v>
      </x:c>
      <x:c r="D6" s="30" t="str">
        <x:v>Quick-win log</x:v>
      </x:c>
      <x:c r="E6" s="30" t="str">
        <x:v>Shows practical value without large system changes</x:v>
      </x:c>
      <x:c r="F6" s="30" t="str">
        <x:v>IT Support Admin</x:v>
      </x:c>
      <x:c r="G6" s="30" t="str">
        <x:v>End of Week 3</x:v>
      </x:c>
      <x:c r="H6" s="30" t="str">
        <x:v>Planned</x:v>
      </x:c>
      <x:c r="I6" s="30" t="str">
        <x:v>Prioritise repeat pain points</x:v>
      </x:c>
      <x:c r="J6" s="30"/>
    </x:row>
    <x:row r="7">
      <x:c r="A7" s="30" t="str">
        <x:v>Week 4</x:v>
      </x:c>
      <x:c r="B7" s="30" t="str">
        <x:v>Report and recommend</x:v>
      </x:c>
      <x:c r="C7" s="30" t="str">
        <x:v>Present ticket trends; asset/security exceptions; proposed next improvements and KPIs</x:v>
      </x:c>
      <x:c r="D7" s="30" t="str">
        <x:v>30-day IT operations review</x:v>
      </x:c>
      <x:c r="E7" s="30" t="str">
        <x:v>Turns support activity into management insight</x:v>
      </x:c>
      <x:c r="F7" s="30" t="str">
        <x:v>IT Support Admin</x:v>
      </x:c>
      <x:c r="G7" s="30" t="str">
        <x:v>End of Week 4</x:v>
      </x:c>
      <x:c r="H7" s="30" t="str">
        <x:v>Planned</x:v>
      </x:c>
      <x:c r="I7" s="30" t="str">
        <x:v>Recommendations based on evidence</x:v>
      </x:c>
      <x:c r="J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</x:row>
    <x:row r="10" ht="28" customHeight="1">
      <x:c r="A10" s="82" t="str">
        <x:v>Priority</x:v>
      </x:c>
      <x:c r="B10" s="82" t="str">
        <x:v>Initiative</x:v>
      </x:c>
      <x:c r="C10" s="82" t="str">
        <x:v>Problem / Evidence</x:v>
      </x:c>
      <x:c r="D10" s="82" t="str">
        <x:v>Recommended Action</x:v>
      </x:c>
      <x:c r="E10" s="82" t="str">
        <x:v>Business Benefit</x:v>
      </x:c>
      <x:c r="F10" s="82" t="str">
        <x:v>Effort</x:v>
      </x:c>
      <x:c r="G10" s="82" t="str">
        <x:v>Owner</x:v>
      </x:c>
      <x:c r="H10" s="82" t="str">
        <x:v>Timeframe</x:v>
      </x:c>
      <x:c r="I10" s="82" t="str">
        <x:v>Success Metric</x:v>
      </x:c>
      <x:c r="J10" s="82" t="str">
        <x:v>Status</x:v>
      </x:c>
    </x:row>
    <x:row r="11">
      <x:c r="A11" s="30" t="str">
        <x:v>P1</x:v>
      </x:c>
      <x:c r="B11" s="30" t="str">
        <x:v>Resolve endpoint compliance exceptions</x:v>
      </x:c>
      <x:c r="C11" s="30" t="str">
        <x:v>Asset register includes encryption, Defender and patch exceptions</x:v>
      </x:c>
      <x:c r="D11" s="30" t="str">
        <x:v>Remediate non-compliant devices and establish weekly exception review</x:v>
      </x:c>
      <x:c r="E11" s="30" t="str">
        <x:v>Reduces avoidable security and support risk</x:v>
      </x:c>
      <x:c r="F11" s="30" t="str">
        <x:v>Low</x:v>
      </x:c>
      <x:c r="G11" s="30" t="str">
        <x:v>IT</x:v>
      </x:c>
      <x:c r="H11" s="30" t="str">
        <x:v>0–30 days</x:v>
      </x:c>
      <x:c r="I11" s="30" t="str">
        <x:v>95%+ device compliance</x:v>
      </x:c>
      <x:c r="J11" s="30" t="str">
        <x:v>Not Started</x:v>
      </x:c>
    </x:row>
    <x:row r="12">
      <x:c r="A12" s="30" t="str">
        <x:v>P1</x:v>
      </x:c>
      <x:c r="B12" s="30" t="str">
        <x:v>Close overdue access reviews</x:v>
      </x:c>
      <x:c r="C12" s="30" t="str">
        <x:v>User access register includes overdue and Review exceptions</x:v>
      </x:c>
      <x:c r="D12" s="30" t="str">
        <x:v>Validate with managers and remove unnecessary permissions</x:v>
      </x:c>
      <x:c r="E12" s="30" t="str">
        <x:v>Reduces unauthorised or excessive access</x:v>
      </x:c>
      <x:c r="F12" s="30" t="str">
        <x:v>Low</x:v>
      </x:c>
      <x:c r="G12" s="30" t="str">
        <x:v>IT + Managers</x:v>
      </x:c>
      <x:c r="H12" s="30" t="str">
        <x:v>0–30 days</x:v>
      </x:c>
      <x:c r="I12" s="30" t="str">
        <x:v>0 overdue high-risk reviews</x:v>
      </x:c>
      <x:c r="J12" s="30" t="str">
        <x:v>Not Started</x:v>
      </x:c>
    </x:row>
    <x:row r="13">
      <x:c r="A13" s="30" t="str">
        <x:v>P1</x:v>
      </x:c>
      <x:c r="B13" s="30" t="str">
        <x:v>Document backup restore testing</x:v>
      </x:c>
      <x:c r="C13" s="30" t="str">
        <x:v>Security review shows restore testing is not documented</x:v>
      </x:c>
      <x:c r="D13" s="30" t="str">
        <x:v>Define backup owner, retention and quarterly restore test</x:v>
      </x:c>
      <x:c r="E13" s="30" t="str">
        <x:v>Improves recovery confidence</x:v>
      </x:c>
      <x:c r="F13" s="30" t="str">
        <x:v>Medium</x:v>
      </x:c>
      <x:c r="G13" s="30" t="str">
        <x:v>IT</x:v>
      </x:c>
      <x:c r="H13" s="30" t="str">
        <x:v>0–30 days</x:v>
      </x:c>
      <x:c r="I13" s="30" t="str">
        <x:v>Successful documented restore test</x:v>
      </x:c>
      <x:c r="J13" s="30" t="str">
        <x:v>Not Started</x:v>
      </x:c>
    </x:row>
    <x:row r="14">
      <x:c r="A14" s="30" t="str">
        <x:v>P2</x:v>
      </x:c>
      <x:c r="B14" s="30" t="str">
        <x:v>Create self-service knowledge base</x:v>
      </x:c>
      <x:c r="C14" s="30" t="str">
        <x:v>Repeated support categories can generate repeat tickets</x:v>
      </x:c>
      <x:c r="D14" s="30" t="str">
        <x:v>Publish guides for MFA, Outlook, OneDrive, printers and project-folder access</x:v>
      </x:c>
      <x:c r="E14" s="30" t="str">
        <x:v>Reduces repeat low-complexity tickets</x:v>
      </x:c>
      <x:c r="F14" s="30" t="str">
        <x:v>Low</x:v>
      </x:c>
      <x:c r="G14" s="30" t="str">
        <x:v>IT</x:v>
      </x:c>
      <x:c r="H14" s="30" t="str">
        <x:v>0–30 days</x:v>
      </x:c>
      <x:c r="I14" s="30" t="str">
        <x:v>10 published articles; repeat tickets trend down</x:v>
      </x:c>
      <x:c r="J14" s="30" t="str">
        <x:v>Not Started</x:v>
      </x:c>
    </x:row>
    <x:row r="15">
      <x:c r="A15" s="30" t="str">
        <x:v>P2</x:v>
      </x:c>
      <x:c r="B15" s="30" t="str">
        <x:v>Standardise starter/leaver process</x:v>
      </x:c>
      <x:c r="C15" s="30" t="str">
        <x:v>Manual onboarding and offboarding can miss access or licences</x:v>
      </x:c>
      <x:c r="D15" s="30" t="str">
        <x:v>Use one approved checklist and sign-off workflow</x:v>
      </x:c>
      <x:c r="E15" s="30" t="str">
        <x:v>Improves security and first-day readiness</x:v>
      </x:c>
      <x:c r="F15" s="30" t="str">
        <x:v>Low</x:v>
      </x:c>
      <x:c r="G15" s="30" t="str">
        <x:v>IT + Admin</x:v>
      </x:c>
      <x:c r="H15" s="30" t="str">
        <x:v>0–30 days</x:v>
      </x:c>
      <x:c r="I15" s="30" t="str">
        <x:v>100% checklist completion</x:v>
      </x:c>
      <x:c r="J15" s="30" t="str">
        <x:v>Not Started</x:v>
      </x:c>
    </x:row>
    <x:row r="16">
      <x:c r="A16" s="30" t="str">
        <x:v>P2</x:v>
      </x:c>
      <x:c r="B16" s="30" t="str">
        <x:v>Formalise ticket intake</x:v>
      </x:c>
      <x:c r="C16" s="30" t="str">
        <x:v>Requests may arrive by phone/email/walk-up</x:v>
      </x:c>
      <x:c r="D16" s="30" t="str">
        <x:v>Use one intake channel with ticket ID, category and priority</x:v>
      </x:c>
      <x:c r="E16" s="30" t="str">
        <x:v>Improves visibility and prioritisation</x:v>
      </x:c>
      <x:c r="F16" s="30" t="str">
        <x:v>Medium</x:v>
      </x:c>
      <x:c r="G16" s="30" t="str">
        <x:v>IT</x:v>
      </x:c>
      <x:c r="H16" s="30" t="str">
        <x:v>30–60 days</x:v>
      </x:c>
      <x:c r="I16" s="30" t="str">
        <x:v>90%+ support requests logged</x:v>
      </x:c>
      <x:c r="J16" s="30" t="str">
        <x:v>Not Started</x:v>
      </x:c>
    </x:row>
    <x:row r="17">
      <x:c r="A17" s="30" t="str">
        <x:v>P2</x:v>
      </x:c>
      <x:c r="B17" s="30" t="str">
        <x:v>Quarterly asset audit</x:v>
      </x:c>
      <x:c r="C17" s="30" t="str">
        <x:v>Asset ownership changes over time</x:v>
      </x:c>
      <x:c r="D17" s="30" t="str">
        <x:v>Reconcile device owner, location, status and warranty each quarter</x:v>
      </x:c>
      <x:c r="E17" s="30" t="str">
        <x:v>Improves asset accountability</x:v>
      </x:c>
      <x:c r="F17" s="30" t="str">
        <x:v>Low</x:v>
      </x:c>
      <x:c r="G17" s="30" t="str">
        <x:v>IT</x:v>
      </x:c>
      <x:c r="H17" s="30" t="str">
        <x:v>Quarterly</x:v>
      </x:c>
      <x:c r="I17" s="30" t="str">
        <x:v>98%+ asset record accuracy</x:v>
      </x:c>
      <x:c r="J17" s="30" t="str">
        <x:v>Not Started</x:v>
      </x:c>
    </x:row>
    <x:row r="18">
      <x:c r="A18" s="30" t="str">
        <x:v>P3</x:v>
      </x:c>
      <x:c r="B18" s="30" t="str">
        <x:v>Build management dashboard</x:v>
      </x:c>
      <x:c r="C18" s="30" t="str">
        <x:v>Operational data is difficult to interpret in raw tables</x:v>
      </x:c>
      <x:c r="D18" s="30" t="str">
        <x:v>Publish monthly helpdesk, asset and security KPI dashboard</x:v>
      </x:c>
      <x:c r="E18" s="30" t="str">
        <x:v>Supports evidence-based decisions</x:v>
      </x:c>
      <x:c r="F18" s="30" t="str">
        <x:v>Medium</x:v>
      </x:c>
      <x:c r="G18" s="30" t="str">
        <x:v>IT / Analytics</x:v>
      </x:c>
      <x:c r="H18" s="30" t="str">
        <x:v>30–60 days</x:v>
      </x:c>
      <x:c r="I18" s="30" t="str">
        <x:v>Monthly dashboard delivered</x:v>
      </x:c>
      <x:c r="J18" s="30" t="str">
        <x:v>Not Started</x:v>
      </x:c>
    </x:row>
    <x:row r="19">
      <x:c r="A19" s="30" t="str">
        <x:v>P3</x:v>
      </x:c>
      <x:c r="B19" s="30" t="str">
        <x:v>Review software licences</x:v>
      </x:c>
      <x:c r="C19" s="30" t="str">
        <x:v>Unused licences may remain after role changes</x:v>
      </x:c>
      <x:c r="D19" s="30" t="str">
        <x:v>Compare assigned licences with active users and reclaim unused licences</x:v>
      </x:c>
      <x:c r="E19" s="30" t="str">
        <x:v>Reduces software cost</x:v>
      </x:c>
      <x:c r="F19" s="30" t="str">
        <x:v>Low</x:v>
      </x:c>
      <x:c r="G19" s="30" t="str">
        <x:v>IT + Finance</x:v>
      </x:c>
      <x:c r="H19" s="30" t="str">
        <x:v>30–60 days</x:v>
      </x:c>
      <x:c r="I19" s="30" t="str">
        <x:v>Unused licences reduced</x:v>
      </x:c>
      <x:c r="J19" s="30" t="str">
        <x:v>Not Started</x:v>
      </x:c>
    </x:row>
    <x:row r="20">
      <x:c r="A20" s="30" t="str">
        <x:v>P3</x:v>
      </x:c>
      <x:c r="B20" s="30" t="str">
        <x:v>Security awareness cadence</x:v>
      </x:c>
      <x:c r="C20" s="30" t="str">
        <x:v>Phishing knowledge is often inconsistent</x:v>
      </x:c>
      <x:c r="D20" s="30" t="str">
        <x:v>Annual training plus short quarterly reminders</x:v>
      </x:c>
      <x:c r="E20" s="30" t="str">
        <x:v>Reduces phishing risk</x:v>
      </x:c>
      <x:c r="F20" s="30" t="str">
        <x:v>Medium</x:v>
      </x:c>
      <x:c r="G20" s="30" t="str">
        <x:v>IT + Admin</x:v>
      </x:c>
      <x:c r="H20" s="30" t="str">
        <x:v>60–90 days</x:v>
      </x:c>
      <x:c r="I20" s="30" t="str">
        <x:v>Training completion &gt;95%</x:v>
      </x:c>
      <x:c r="J20" s="30" t="str">
        <x:v>Not Started</x:v>
      </x:c>
    </x:row>
  </x:sheetData>
  <x:mergeCells>
    <x:mergeCell ref="A1:I1"/>
  </x:mergeCells>
  <x:conditionalFormatting sqref="A11:A20">
    <x:cfRule type="expression" dxfId="24" priority="1">
      <x:formula>A11="P1"</x:formula>
    </x:cfRule>
    <x:cfRule type="expression" dxfId="25" priority="2">
      <x:formula>A11="P2"</x:formula>
    </x:cfRule>
    <x:cfRule type="expression" dxfId="26" priority="3">
      <x:formula>A11="P3"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42" hidden="0" customWidth="1"/>
    <x:col min="4" max="4" width="22" hidden="0" customWidth="1"/>
    <x:col min="5" max="5" width="32" hidden="0" customWidth="1"/>
    <x:col min="6" max="6" width="34" hidden="0" customWidth="1"/>
  </x:cols>
  <x:sheetData>
    <x:row r="1" ht="28" customHeight="1">
      <x:c r="A1" s="133" t="str">
        <x:v>Future Power BI Enhancement — Data Model &amp; Build Guide (Report Not Yet Built)</x:v>
      </x:c>
      <x:c r="B1" s="133"/>
      <x:c r="C1" s="133"/>
      <x:c r="D1" s="133"/>
      <x:c r="E1" s="133"/>
      <x:c r="F1" s="133"/>
    </x:row>
    <x:row r="2">
      <x:c r="A2" s="135" t="str">
        <x:v>The Excel/GitHub version is complete as a portable demonstration. This sheet documents how the existing tables can later be connected in Power BI.</x:v>
      </x:c>
      <x:c r="B2" s="135"/>
      <x:c r="C2" s="135"/>
      <x:c r="D2" s="135"/>
      <x:c r="E2" s="135"/>
      <x:c r="F2" s="135"/>
    </x:row>
    <x:row r="3" ht="28" customHeight="1">
      <x:c r="A3" s="82" t="str">
        <x:v>Table / Sheet</x:v>
      </x:c>
      <x:c r="B3" s="82" t="str">
        <x:v>Key Field</x:v>
      </x:c>
      <x:c r="C3" s="82" t="str">
        <x:v>Relationship</x:v>
      </x:c>
      <x:c r="D3" s="82" t="str">
        <x:v>Cardinality</x:v>
      </x:c>
      <x:c r="E3" s="82" t="str">
        <x:v>Use in Power BI</x:v>
      </x:c>
      <x:c r="F3" s="82" t="str">
        <x:v>Notes</x:v>
      </x:c>
    </x:row>
    <x:row r="4">
      <x:c r="A4" s="30" t="str">
        <x:v>Employee_Master</x:v>
      </x:c>
      <x:c r="B4" s="30" t="str">
        <x:v>Employee_ID</x:v>
      </x:c>
      <x:c r="C4" s="30" t="str">
        <x:v>Employee_Master[Employee_ID] → IT_Ticket_Register[Employee_ID]</x:v>
      </x:c>
      <x:c r="D4" s="30" t="str">
        <x:v>1 : many</x:v>
      </x:c>
      <x:c r="E4" s="30" t="str">
        <x:v>Dimension</x:v>
      </x:c>
      <x:c r="F4" s="30" t="str">
        <x:v>Central employee table</x:v>
      </x:c>
    </x:row>
    <x:row r="5">
      <x:c r="A5" s="30" t="str">
        <x:v>Employee_Master</x:v>
      </x:c>
      <x:c r="B5" s="30" t="str">
        <x:v>Employee_ID</x:v>
      </x:c>
      <x:c r="C5" s="30" t="str">
        <x:v>Employee_Master[Employee_ID] → Asset_Register[Assigned_Employee_ID]</x:v>
      </x:c>
      <x:c r="D5" s="30" t="str">
        <x:v>1 : many</x:v>
      </x:c>
      <x:c r="E5" s="30" t="str">
        <x:v>Dimension → Fact</x:v>
      </x:c>
      <x:c r="F5" s="30" t="str">
        <x:v>Blank asset assignments are shared devices</x:v>
      </x:c>
    </x:row>
    <x:row r="6">
      <x:c r="A6" s="30" t="str">
        <x:v>Employee_Master</x:v>
      </x:c>
      <x:c r="B6" s="30" t="str">
        <x:v>Employee_ID</x:v>
      </x:c>
      <x:c r="C6" s="30" t="str">
        <x:v>Employee_Master[Employee_ID] → User_Access_Register[Employee_ID]</x:v>
      </x:c>
      <x:c r="D6" s="30" t="str">
        <x:v>1 : many</x:v>
      </x:c>
      <x:c r="E6" s="30" t="str">
        <x:v>Dimension → Fact</x:v>
      </x:c>
      <x:c r="F6" s="30" t="str">
        <x:v>Access records per employee</x:v>
      </x:c>
    </x:row>
    <x:row r="7">
      <x:c r="A7" s="30" t="str">
        <x:v>Employee_Master</x:v>
      </x:c>
      <x:c r="B7" s="30" t="str">
        <x:v>Employee_ID</x:v>
      </x:c>
      <x:c r="C7" s="30" t="str">
        <x:v>Employee_Master[Employee_ID] → Onboarding_Offboarding[Employee_ID]</x:v>
      </x:c>
      <x:c r="D7" s="30" t="str">
        <x:v>1 : many</x:v>
      </x:c>
      <x:c r="E7" s="30" t="str">
        <x:v>Dimension → Fact</x:v>
      </x:c>
      <x:c r="F7" s="30" t="str">
        <x:v>Lifecycle events</x:v>
      </x:c>
    </x:row>
    <x:row r="8">
      <x:c r="A8" s="30" t="str">
        <x:v>Knowledge_Base</x:v>
      </x:c>
      <x:c r="B8" s="30" t="str">
        <x:v>Article_ID</x:v>
      </x:c>
      <x:c r="C8" s="30" t="str">
        <x:v>Knowledge_Base[Article_ID] → IT_Ticket_Register[Knowledge_Article]</x:v>
      </x:c>
      <x:c r="D8" s="30" t="str">
        <x:v>1 : many</x:v>
      </x:c>
      <x:c r="E8" s="30" t="str">
        <x:v>Dimension → Fact</x:v>
      </x:c>
      <x:c r="F8" s="30" t="str">
        <x:v>Which articles support ticket resolution</x:v>
      </x:c>
    </x:row>
    <x:row r="9">
      <x:c r="A9" s="30"/>
      <x:c r="B9" s="30"/>
      <x:c r="C9" s="30"/>
      <x:c r="D9" s="30"/>
      <x:c r="E9" s="30"/>
      <x:c r="F9" s="30"/>
    </x:row>
    <x:row r="10">
      <x:c r="A10" s="30"/>
      <x:c r="B10" s="30"/>
      <x:c r="C10" s="30"/>
      <x:c r="D10" s="30"/>
      <x:c r="E10" s="30"/>
      <x:c r="F10" s="30"/>
    </x:row>
    <x:row r="11" ht="28" customHeight="1">
      <x:c r="A11" s="82" t="str">
        <x:v>Recommended Report Page</x:v>
      </x:c>
      <x:c r="B11" s="82" t="str">
        <x:v>Main Visuals</x:v>
      </x:c>
      <x:c r="C11" s="82" t="str">
        <x:v>Core Question</x:v>
      </x:c>
      <x:c r="D11" s="82" t="str">
        <x:v>Suggested Measures</x:v>
      </x:c>
      <x:c r="E11" s="30"/>
      <x:c r="F11" s="30"/>
    </x:row>
    <x:row r="12">
      <x:c r="A12" s="30" t="str">
        <x:v>1. Executive Overview</x:v>
      </x:c>
      <x:c r="B12" s="30" t="str">
        <x:v>KPI cards, ticket trend, SLA chart, top categories</x:v>
      </x:c>
      <x:c r="C12" s="30" t="str">
        <x:v>Is IT support healthy overall?</x:v>
      </x:c>
      <x:c r="D12" s="30" t="str">
        <x:v>Total Tickets; Open Tickets; SLA %; Avg CSAT</x:v>
      </x:c>
      <x:c r="E12" s="30"/>
      <x:c r="F12" s="30"/>
    </x:row>
    <x:row r="13">
      <x:c r="A13" s="30" t="str">
        <x:v>2. Helpdesk Performance</x:v>
      </x:c>
      <x:c r="B13" s="30" t="str">
        <x:v>Tickets by category/priority/department; SLA; resolution time</x:v>
      </x:c>
      <x:c r="C13" s="30" t="str">
        <x:v>Where is support effort going?</x:v>
      </x:c>
      <x:c r="D13" s="30" t="str">
        <x:v>Avg Resolution Hours; SLA Breaches; Reopened Tickets</x:v>
      </x:c>
      <x:c r="E13" s="30"/>
      <x:c r="F13" s="30"/>
    </x:row>
    <x:row r="14">
      <x:c r="A14" s="30" t="str">
        <x:v>3. Assets &amp; Security</x:v>
      </x:c>
      <x:c r="B14" s="30" t="str">
        <x:v>Compliance, warranty, patching, risk rating</x:v>
      </x:c>
      <x:c r="C14" s="30" t="str">
        <x:v>Which devices or controls need attention?</x:v>
      </x:c>
      <x:c r="D14" s="30" t="str">
        <x:v>Asset Compliance %; Warranty Attention; High Risks</x:v>
      </x:c>
      <x:c r="E14" s="30"/>
      <x:c r="F14" s="30"/>
    </x:row>
    <x:row r="15">
      <x:c r="A15" s="30" t="str">
        <x:v>4. Access &amp; Lifecycle</x:v>
      </x:c>
      <x:c r="B15" s="30" t="str">
        <x:v>Overdue reviews; access risk; onboarding completion</x:v>
      </x:c>
      <x:c r="C15" s="30" t="str">
        <x:v>Are users receiving and losing access correctly?</x:v>
      </x:c>
      <x:c r="D15" s="30" t="str">
        <x:v>Overdue Reviews; High-Risk Access; Onboarding %</x:v>
      </x:c>
      <x:c r="E15" s="30"/>
      <x:c r="F15" s="30"/>
    </x:row>
    <x:row r="16">
      <x:c r="A16" s="30"/>
      <x:c r="B16" s="30"/>
      <x:c r="C16" s="30"/>
      <x:c r="D16" s="30"/>
      <x:c r="E16" s="30"/>
      <x:c r="F16" s="30"/>
    </x:row>
    <x:row r="17">
      <x:c r="A17" s="30"/>
      <x:c r="B17" s="30"/>
      <x:c r="C17" s="30"/>
      <x:c r="D17" s="30"/>
      <x:c r="E17" s="30"/>
      <x:c r="F17" s="30"/>
    </x:row>
    <x:row r="18" ht="28" customHeight="1">
      <x:c r="A18" s="82" t="str">
        <x:v>Example DAX Measure</x:v>
      </x:c>
      <x:c r="B18" s="82" t="str">
        <x:v>Formula</x:v>
      </x:c>
      <x:c r="C18" s="30"/>
      <x:c r="D18" s="30"/>
      <x:c r="E18" s="30"/>
      <x:c r="F18" s="30"/>
    </x:row>
    <x:row r="19">
      <x:c r="A19" s="30" t="str">
        <x:v>Total Tickets</x:v>
      </x:c>
      <x:c r="B19" s="30" t="str">
        <x:v>Total Tickets = COUNTROWS(IT_Ticket_Register)</x:v>
      </x:c>
      <x:c r="C19" s="30"/>
      <x:c r="D19" s="30"/>
      <x:c r="E19" s="30"/>
      <x:c r="F19" s="30"/>
    </x:row>
    <x:row r="20">
      <x:c r="A20" s="30" t="str">
        <x:v>Open Tickets</x:v>
      </x:c>
      <x:c r="B20" s="30" t="str">
        <x:v>Open Tickets = CALCULATE([Total Tickets], NOT(IT_Ticket_Register[Status] IN {"Closed","Resolved"}))</x:v>
      </x:c>
      <x:c r="C20" s="30"/>
      <x:c r="D20" s="30"/>
      <x:c r="E20" s="30"/>
      <x:c r="F20" s="30"/>
    </x:row>
    <x:row r="21">
      <x:c r="A21" s="30" t="str">
        <x:v>Resolution SLA %</x:v>
      </x:c>
      <x:c r="B21" s="30" t="str">
        <x:v>Resolution SLA % = DIVIDE(CALCULATE([Total Tickets], IT_Ticket_Register[Resolution_SLA_Status]="Met"), [Total Tickets])</x:v>
      </x:c>
      <x:c r="C21" s="30"/>
      <x:c r="D21" s="30"/>
      <x:c r="E21" s="30"/>
      <x:c r="F21" s="30"/>
    </x:row>
    <x:row r="22">
      <x:c r="A22" s="30" t="str">
        <x:v>Average CSAT</x:v>
      </x:c>
      <x:c r="B22" s="30" t="str">
        <x:v>Average CSAT = AVERAGE(IT_Ticket_Register[Customer_Satisfaction])</x:v>
      </x:c>
      <x:c r="C22" s="30"/>
      <x:c r="D22" s="30"/>
      <x:c r="E22" s="30"/>
      <x:c r="F22" s="30"/>
    </x:row>
    <x:row r="23">
      <x:c r="A23" s="30" t="str">
        <x:v>Asset Compliance %</x:v>
      </x:c>
      <x:c r="B23" s="30" t="str">
        <x:v>Asset Compliance % = DIVIDE(CALCULATE(COUNTROWS(Asset_Register), Asset_Register[Compliance_Status]="Compliant"), COUNTROWS(Asset_Register))</x:v>
      </x:c>
      <x:c r="C23" s="30"/>
      <x:c r="D23" s="30"/>
      <x:c r="E23" s="30"/>
      <x:c r="F23" s="30"/>
    </x:row>
    <x:row r="24">
      <x:c r="A24" s="30" t="str">
        <x:v>Overdue Access Reviews</x:v>
      </x:c>
      <x:c r="B24" s="30" t="str">
        <x:v>Overdue Access Reviews = CALCULATE(COUNTROWS(User_Access_Register), User_Access_Register[Review_Status]="Overdue")</x:v>
      </x:c>
      <x:c r="C24" s="30"/>
      <x:c r="D24" s="30"/>
      <x:c r="E24" s="30"/>
      <x:c r="F24" s="30"/>
    </x:row>
    <x:row r="25">
      <x:c r="A25" s="30"/>
      <x:c r="B25" s="30"/>
      <x:c r="C25" s="30"/>
      <x:c r="D25" s="30"/>
      <x:c r="E25" s="30"/>
      <x:c r="F25" s="30"/>
    </x:row>
    <x:row r="26">
      <x:c r="A26" s="30"/>
      <x:c r="B26" s="30"/>
      <x:c r="C26" s="30"/>
      <x:c r="D26" s="30"/>
      <x:c r="E26" s="30"/>
      <x:c r="F26" s="30"/>
    </x:row>
    <x:row r="27" ht="28" customHeight="1">
      <x:c r="A27" s="82" t="str">
        <x:v>Recommended Build Order</x:v>
      </x:c>
      <x:c r="B27" s="82" t="str">
        <x:v>1</x:v>
      </x:c>
      <x:c r="C27" s="82" t="str">
        <x:v>2</x:v>
      </x:c>
      <x:c r="D27" s="82" t="str">
        <x:v>3</x:v>
      </x:c>
      <x:c r="E27" s="82" t="str">
        <x:v>4</x:v>
      </x:c>
      <x:c r="F27" s="82" t="str">
        <x:v>5</x:v>
      </x:c>
    </x:row>
    <x:row r="28">
      <x:c r="A28" s="30" t="str">
        <x:v>Steps</x:v>
      </x:c>
      <x:c r="B28" s="30" t="str">
        <x:v>Load workbook</x:v>
      </x:c>
      <x:c r="C28" s="30" t="str">
        <x:v>Clean types in Power Query</x:v>
      </x:c>
      <x:c r="D28" s="30" t="str">
        <x:v>Create relationships</x:v>
      </x:c>
      <x:c r="E28" s="30" t="str">
        <x:v>Create measures</x:v>
      </x:c>
      <x:c r="F28" s="30" t="str">
        <x:v>Build visuals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8" hidden="0" customWidth="1"/>
    <x:col min="4" max="4" width="66" hidden="0" customWidth="1"/>
    <x:col min="5" max="5" width="34" hidden="0" customWidth="1"/>
    <x:col min="6" max="6" width="24" hidden="0" customWidth="1"/>
  </x:cols>
  <x:sheetData>
    <x:row r="1" ht="28" customHeight="1">
      <x:c r="A1" s="78" t="str">
        <x:v>Urban Edge SA — 5–7 Minute IT Support Admin Demo Guide</x:v>
      </x:c>
      <x:c r="B1" s="78"/>
      <x:c r="C1" s="78"/>
      <x:c r="D1" s="78"/>
      <x:c r="E1" s="78"/>
      <x:c r="F1" s="78"/>
    </x:row>
    <x:row r="3" ht="28" customHeight="1">
      <x:c r="A3" s="82" t="str">
        <x:v>Time</x:v>
      </x:c>
      <x:c r="B3" s="82" t="str">
        <x:v>Open This Sheet</x:v>
      </x:c>
      <x:c r="C3" s="82" t="str">
        <x:v>What to Show</x:v>
      </x:c>
      <x:c r="D3" s="82" t="str">
        <x:v>What to Say</x:v>
      </x:c>
      <x:c r="E3" s="82" t="str">
        <x:v>What It Proves</x:v>
      </x:c>
      <x:c r="F3" s="82" t="str">
        <x:v>Keep It Short</x:v>
      </x:c>
    </x:row>
    <x:row r="4">
      <x:c r="A4" s="30" t="str">
        <x:v>0:00–0:40</x:v>
      </x:c>
      <x:c r="B4" s="30" t="str">
        <x:v>Project_ReadMe</x:v>
      </x:c>
      <x:c r="C4" s="30" t="str">
        <x:v>Mock-data disclaimer and project objective</x:v>
      </x:c>
      <x:c r="D4" s="30" t="str">
        <x:v>I built this independently using mock data to demonstrate how I would approach structured IT support. I have not assumed this represents Urban Edge's current systems.</x:v>
      </x:c>
      <x:c r="E4" s="30" t="str">
        <x:v>Professional judgement and respect for internal systems</x:v>
      </x:c>
      <x:c r="F4" s="30" t="str">
        <x:v>Do not over-explain the project</x:v>
      </x:c>
    </x:row>
    <x:row r="5">
      <x:c r="A5" s="30" t="str">
        <x:v>0:40–1:40</x:v>
      </x:c>
      <x:c r="B5" s="30" t="str">
        <x:v>IT_Ticket_Register</x:v>
      </x:c>
      <x:c r="C5" s="30" t="str">
        <x:v>Priority, SLA, root cause and knowledge article fields</x:v>
      </x:c>
      <x:c r="D5" s="30" t="str">
        <x:v>A ticket is not just a problem description. I record impact, urgency, response, resolution, cause and reusable documentation so recurring issues can be reduced.</x:v>
      </x:c>
      <x:c r="E5" s="30" t="str">
        <x:v>Helpdesk thinking</x:v>
      </x:c>
      <x:c r="F5" s="30" t="str">
        <x:v>Use one ticket example</x:v>
      </x:c>
    </x:row>
    <x:row r="6">
      <x:c r="A6" s="30" t="str">
        <x:v>1:40–2:30</x:v>
      </x:c>
      <x:c r="B6" s="30" t="str">
        <x:v>Asset_Register</x:v>
      </x:c>
      <x:c r="C6" s="30" t="str">
        <x:v>Owner, warranty and compliance status</x:v>
      </x:c>
      <x:c r="D6" s="30" t="str">
        <x:v>This gives IT one place to know who has each device and which assets need patching, encryption, security or warranty attention.</x:v>
      </x:c>
      <x:c r="E6" s="30" t="str">
        <x:v>IT administration</x:v>
      </x:c>
      <x:c r="F6" s="30" t="str">
        <x:v>Show one compliant and one attention row</x:v>
      </x:c>
    </x:row>
    <x:row r="7">
      <x:c r="A7" s="30" t="str">
        <x:v>2:30–3:20</x:v>
      </x:c>
      <x:c r="B7" s="30" t="str">
        <x:v>User_Access_Register</x:v>
      </x:c>
      <x:c r="C7" s="30" t="str">
        <x:v>Project/system access and review dates</x:v>
      </x:c>
      <x:c r="D7" s="30" t="str">
        <x:v>I would grant only the access a role needs and schedule reviews, especially for sensitive or project-based permissions.</x:v>
      </x:c>
      <x:c r="E7" s="30" t="str">
        <x:v>Access control awareness</x:v>
      </x:c>
      <x:c r="F7" s="30" t="str">
        <x:v>Mention least privilege</x:v>
      </x:c>
    </x:row>
    <x:row r="8">
      <x:c r="A8" s="30" t="str">
        <x:v>3:20–4:00</x:v>
      </x:c>
      <x:c r="B8" s="30" t="str">
        <x:v>Onboarding_Offboarding</x:v>
      </x:c>
      <x:c r="C8" s="30" t="str">
        <x:v>UE029 onboarding example</x:v>
      </x:c>
      <x:c r="D8" s="30" t="str">
        <x:v>The same checklist makes new starters ready faster and makes leavers safer by ensuring accounts, access and devices are closed out properly.</x:v>
      </x:c>
      <x:c r="E8" s="30" t="str">
        <x:v>Process discipline</x:v>
      </x:c>
      <x:c r="F8" s="30" t="str">
        <x:v>Point to completion percentage</x:v>
      </x:c>
    </x:row>
    <x:row r="9">
      <x:c r="A9" s="30" t="str">
        <x:v>4:00–5:00</x:v>
      </x:c>
      <x:c r="B9" s="30" t="str">
        <x:v>IT_Dashboard</x:v>
      </x:c>
      <x:c r="C9" s="30" t="str">
        <x:v>KPIs and management insights</x:v>
      </x:c>
      <x:c r="D9" s="30" t="str">
        <x:v>The dashboard turns support activity into information management can use, such as recurring issues, SLA breaches and device exceptions.</x:v>
      </x:c>
      <x:c r="E9" s="30" t="str">
        <x:v>Analytics differentiation</x:v>
      </x:c>
      <x:c r="F9" s="30" t="str">
        <x:v>Only discuss 2–3 KPIs</x:v>
      </x:c>
    </x:row>
    <x:row r="10">
      <x:c r="A10" s="30" t="str">
        <x:v>5:00–6:00</x:v>
      </x:c>
      <x:c r="B10" s="30" t="str">
        <x:v>Security_Health_Check</x:v>
      </x:c>
      <x:c r="C10" s="30" t="str">
        <x:v>High and medium risks</x:v>
      </x:c>
      <x:c r="D10" s="30" t="str">
        <x:v>I have kept this at a practical administration level: MFA, device encryption, patching, access reviews and backup testing.</x:v>
      </x:c>
      <x:c r="E10" s="30" t="str">
        <x:v>Security awareness</x:v>
      </x:c>
      <x:c r="F10" s="30" t="str">
        <x:v>Do not claim penetration-testing expertise</x:v>
      </x:c>
    </x:row>
    <x:row r="11">
      <x:c r="A11" s="30" t="str">
        <x:v>6:00–7:00</x:v>
      </x:c>
      <x:c r="B11" s="30" t="str">
        <x:v>Improvement_Plan</x:v>
      </x:c>
      <x:c r="C11" s="30" t="str">
        <x:v>First 30 days</x:v>
      </x:c>
      <x:c r="D11" s="30" t="str">
        <x:v>My first step would be to understand the actual environment. I would only recommend changes after validating the real systems and user needs.</x:v>
      </x:c>
      <x:c r="E11" s="30" t="str">
        <x:v>Maturity and communication</x:v>
      </x:c>
      <x:c r="F11" s="30" t="str">
        <x:v>Finish here</x:v>
      </x:c>
    </x:row>
    <x:row r="12">
      <x:c r="A12" s="30"/>
      <x:c r="B12" s="30"/>
      <x:c r="C12" s="30"/>
      <x:c r="D12" s="30"/>
      <x:c r="E12" s="30"/>
      <x:c r="F12" s="30"/>
    </x:row>
    <x:row r="13" ht="28" customHeight="1">
      <x:c r="A13" s="82" t="str">
        <x:v>Likely Interview Question</x:v>
      </x:c>
      <x:c r="B13" s="82" t="str">
        <x:v>Strong Answer Direction</x:v>
      </x:c>
      <x:c r="C13" s="82" t="str">
        <x:v>Project Evidence</x:v>
      </x:c>
      <x:c r="D13" s="30"/>
      <x:c r="E13" s="30"/>
      <x:c r="F13" s="30"/>
    </x:row>
    <x:row r="14">
      <x:c r="A14" s="30" t="str">
        <x:v>Why did you build this?</x:v>
      </x:c>
      <x:c r="B14" s="30" t="str">
        <x:v>To demonstrate how I think about support, documentation, control and improvement without assuming Urban Edge needs a particular product.</x:v>
      </x:c>
      <x:c r="C14" s="30" t="str">
        <x:v>Entire workbook</x:v>
      </x:c>
      <x:c r="D14" s="30"/>
      <x:c r="E14" s="30"/>
      <x:c r="F14" s="30"/>
    </x:row>
    <x:row r="15">
      <x:c r="A15" s="30" t="str">
        <x:v>What would you do first if you started?</x:v>
      </x:c>
      <x:c r="B15" s="30" t="str">
        <x:v>Understand users, current systems, recurring issues and escalation paths before changing anything.</x:v>
      </x:c>
      <x:c r="C15" s="30" t="str">
        <x:v>Improvement_Plan</x:v>
      </x:c>
      <x:c r="D15" s="30"/>
      <x:c r="E15" s="30"/>
      <x:c r="F15" s="30"/>
    </x:row>
    <x:row r="16">
      <x:c r="A16" s="30" t="str">
        <x:v>How do you prioritise IT issues?</x:v>
      </x:c>
      <x:c r="B16" s="30" t="str">
        <x:v>Business impact plus urgency, then apply a clear service target.</x:v>
      </x:c>
      <x:c r="C16" s="30" t="str">
        <x:v>Helpdesk_Setup</x:v>
      </x:c>
      <x:c r="D16" s="30"/>
      <x:c r="E16" s="30"/>
      <x:c r="F16" s="30"/>
    </x:row>
    <x:row r="17">
      <x:c r="A17" s="30" t="str">
        <x:v>What if you do not know how to fix something?</x:v>
      </x:c>
      <x:c r="B17" s="30" t="str">
        <x:v>Gather facts, check documentation and logs, test safely, document attempts and escalate when required.</x:v>
      </x:c>
      <x:c r="C17" s="30" t="str">
        <x:v>Knowledge_Base / ticket fields</x:v>
      </x:c>
      <x:c r="D17" s="30"/>
      <x:c r="E17" s="30"/>
      <x:c r="F17" s="30"/>
    </x:row>
    <x:row r="18">
      <x:c r="A18" s="30" t="str">
        <x:v>How would you handle a phishing report?</x:v>
      </x:c>
      <x:c r="B18" s="30" t="str">
        <x:v>Tell the user not to interact, investigate the message, contain access if necessary, reset credentials if compromised and document the incident.</x:v>
      </x:c>
      <x:c r="C18" s="30" t="str">
        <x:v>KB-019</x:v>
      </x:c>
      <x:c r="D18" s="30"/>
      <x:c r="E18" s="30"/>
      <x:c r="F18" s="30"/>
    </x:row>
    <x:row r="19">
      <x:c r="A19" s="30" t="str">
        <x:v>Why is asset management important?</x:v>
      </x:c>
      <x:c r="B19" s="30" t="str">
        <x:v>It tells us who owns each device, warranty status and whether basic controls such as encryption and patching are healthy.</x:v>
      </x:c>
      <x:c r="C19" s="30" t="str">
        <x:v>Asset_Register</x:v>
      </x:c>
      <x:c r="D19" s="30"/>
      <x:c r="E19" s="30"/>
      <x:c r="F19" s="30"/>
    </x:row>
    <x:row r="20">
      <x:c r="A20" s="30" t="str">
        <x:v>How does your analytics background help IT support?</x:v>
      </x:c>
      <x:c r="B20" s="30" t="str">
        <x:v>It helps me identify recurring causes and service trends instead of solving the same problem repeatedly.</x:v>
      </x:c>
      <x:c r="C20" s="30" t="str">
        <x:v>IT_Dashboard</x:v>
      </x:c>
      <x:c r="D20" s="30"/>
      <x:c r="E20" s="30"/>
      <x:c r="F20" s="30"/>
    </x:row>
  </x:sheetData>
  <x:mergeCells>
    <x:mergeCell ref="A1:F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8" hidden="0" customWidth="1"/>
    <x:col min="4" max="4" width="48" hidden="0" customWidth="1"/>
    <x:col min="5" max="5" width="22" hidden="0" customWidth="1"/>
    <x:col min="6" max="6" width="26" hidden="0" customWidth="1"/>
  </x:cols>
  <x:sheetData>
    <x:row r="1" ht="28" customHeight="1">
      <x:c r="A1" s="78" t="str">
        <x:v>MASTER WORKBOOK GUIDE — Use This File Only</x:v>
      </x:c>
      <x:c r="B1" s="78"/>
      <x:c r="C1" s="78"/>
      <x:c r="D1" s="78"/>
      <x:c r="E1" s="78"/>
      <x:c r="F1" s="78"/>
    </x:row>
    <x:row r="3" ht="28" customHeight="1">
      <x:c r="A3" s="82" t="str">
        <x:v>Order</x:v>
      </x:c>
      <x:c r="B3" s="82" t="str">
        <x:v>Sheet</x:v>
      </x:c>
      <x:c r="C3" s="82" t="str">
        <x:v>Purpose</x:v>
      </x:c>
      <x:c r="D3" s="82" t="str">
        <x:v>What You Should Understand</x:v>
      </x:c>
      <x:c r="E3" s="82" t="str">
        <x:v>Editable / Formula</x:v>
      </x:c>
      <x:c r="F3" s="82" t="str">
        <x:v>Interview Relevance</x:v>
      </x:c>
    </x:row>
    <x:row r="4">
      <x:c r="A4" s="30" t="n">
        <x:v>1</x:v>
      </x:c>
      <x:c r="B4" s="30" t="str">
        <x:v>Project_ReadMe</x:v>
      </x:c>
      <x:c r="C4" s="30" t="str">
        <x:v>Project scope and mock-data disclaimer</x:v>
      </x:c>
      <x:c r="D4" s="30" t="str">
        <x:v>Why the project exists</x:v>
      </x:c>
      <x:c r="E4" s="30" t="str">
        <x:v>Read only</x:v>
      </x:c>
      <x:c r="F4" s="30" t="str">
        <x:v>Opening</x:v>
      </x:c>
    </x:row>
    <x:row r="5">
      <x:c r="A5" s="30" t="n">
        <x:v>2</x:v>
      </x:c>
      <x:c r="B5" s="30" t="str">
        <x:v>Employee_Master</x:v>
      </x:c>
      <x:c r="C5" s="30" t="str">
        <x:v>One source of truth for fictional staff</x:v>
      </x:c>
      <x:c r="D5" s="30" t="str">
        <x:v>Employee_ID is the primary key</x:v>
      </x:c>
      <x:c r="E5" s="30" t="str">
        <x:v>Mostly editable</x:v>
      </x:c>
      <x:c r="F5" s="30" t="str">
        <x:v>Data foundation</x:v>
      </x:c>
    </x:row>
    <x:row r="6">
      <x:c r="A6" s="30" t="n">
        <x:v>3</x:v>
      </x:c>
      <x:c r="B6" s="30" t="str">
        <x:v>Helpdesk_Setup</x:v>
      </x:c>
      <x:c r="C6" s="30" t="str">
        <x:v>Priority matrix and SLA rules</x:v>
      </x:c>
      <x:c r="D6" s="30" t="str">
        <x:v>Impact × urgency determines priority</x:v>
      </x:c>
      <x:c r="E6" s="30" t="str">
        <x:v>Configuration</x:v>
      </x:c>
      <x:c r="F6" s="30" t="str">
        <x:v>Helpdesk logic</x:v>
      </x:c>
    </x:row>
    <x:row r="7">
      <x:c r="A7" s="30" t="n">
        <x:v>4</x:v>
      </x:c>
      <x:c r="B7" s="30" t="str">
        <x:v>IT_Ticket_Register</x:v>
      </x:c>
      <x:c r="C7" s="30" t="str">
        <x:v>50 realistic mock support tickets</x:v>
      </x:c>
      <x:c r="D7" s="30" t="str">
        <x:v>Lifecycle, SLA, root cause, resolution</x:v>
      </x:c>
      <x:c r="E7" s="30" t="str">
        <x:v>Mix of input + formulas</x:v>
      </x:c>
      <x:c r="F7" s="30" t="str">
        <x:v>Core support evidence</x:v>
      </x:c>
    </x:row>
    <x:row r="8">
      <x:c r="A8" s="30" t="n">
        <x:v>5</x:v>
      </x:c>
      <x:c r="B8" s="30" t="str">
        <x:v>Asset_Register</x:v>
      </x:c>
      <x:c r="C8" s="30" t="str">
        <x:v>Company device ownership and compliance</x:v>
      </x:c>
      <x:c r="D8" s="30" t="str">
        <x:v>Asset lifecycle, warranty, patching, encryption</x:v>
      </x:c>
      <x:c r="E8" s="30" t="str">
        <x:v>Mix of input + formulas</x:v>
      </x:c>
      <x:c r="F8" s="30" t="str">
        <x:v>IT administration</x:v>
      </x:c>
    </x:row>
    <x:row r="9">
      <x:c r="A9" s="30" t="n">
        <x:v>6</x:v>
      </x:c>
      <x:c r="B9" s="30" t="str">
        <x:v>User_Access_Register</x:v>
      </x:c>
      <x:c r="C9" s="30" t="str">
        <x:v>System/project permissions</x:v>
      </x:c>
      <x:c r="D9" s="30" t="str">
        <x:v>Least privilege and access reviews</x:v>
      </x:c>
      <x:c r="E9" s="30" t="str">
        <x:v>Mix of input + formulas</x:v>
      </x:c>
      <x:c r="F9" s="30" t="str">
        <x:v>Security / administration</x:v>
      </x:c>
    </x:row>
    <x:row r="10">
      <x:c r="A10" s="30" t="n">
        <x:v>7</x:v>
      </x:c>
      <x:c r="B10" s="30" t="str">
        <x:v>Onboarding_Offboarding</x:v>
      </x:c>
      <x:c r="C10" s="30" t="str">
        <x:v>Standard starter and leaver control</x:v>
      </x:c>
      <x:c r="D10" s="30" t="str">
        <x:v>Consistent setup and safe access removal</x:v>
      </x:c>
      <x:c r="E10" s="30" t="str">
        <x:v>Checklist + formulas</x:v>
      </x:c>
      <x:c r="F10" s="30" t="str">
        <x:v>Process control</x:v>
      </x:c>
    </x:row>
    <x:row r="11">
      <x:c r="A11" s="30" t="n">
        <x:v>8</x:v>
      </x:c>
      <x:c r="B11" s="30" t="str">
        <x:v>Knowledge_Base</x:v>
      </x:c>
      <x:c r="C11" s="30" t="str">
        <x:v>Reusable troubleshooting guidance</x:v>
      </x:c>
      <x:c r="D11" s="30" t="str">
        <x:v>Document fixes so support becomes repeatable</x:v>
      </x:c>
      <x:c r="E11" s="30" t="str">
        <x:v>Editable content</x:v>
      </x:c>
      <x:c r="F11" s="30" t="str">
        <x:v>Documentation</x:v>
      </x:c>
    </x:row>
    <x:row r="12">
      <x:c r="A12" s="30" t="n">
        <x:v>9</x:v>
      </x:c>
      <x:c r="B12" s="30" t="str">
        <x:v>Security_Health_Check</x:v>
      </x:c>
      <x:c r="C12" s="30" t="str">
        <x:v>Practical IT security controls</x:v>
      </x:c>
      <x:c r="D12" s="30" t="str">
        <x:v>MFA, encryption, patching, access, backup</x:v>
      </x:c>
      <x:c r="E12" s="30" t="str">
        <x:v>Risk review</x:v>
      </x:c>
      <x:c r="F12" s="30" t="str">
        <x:v>Security awareness</x:v>
      </x:c>
    </x:row>
    <x:row r="13">
      <x:c r="A13" s="30" t="n">
        <x:v>10</x:v>
      </x:c>
      <x:c r="B13" s="30" t="str">
        <x:v>IT_Dashboard</x:v>
      </x:c>
      <x:c r="C13" s="30" t="str">
        <x:v>Management-level KPI summary</x:v>
      </x:c>
      <x:c r="D13" s="30" t="str">
        <x:v>Turn operational data into decisions</x:v>
      </x:c>
      <x:c r="E13" s="30" t="str">
        <x:v>Formula-driven</x:v>
      </x:c>
      <x:c r="F13" s="30" t="str">
        <x:v>Analytics advantage</x:v>
      </x:c>
    </x:row>
    <x:row r="14">
      <x:c r="A14" s="30" t="n">
        <x:v>11</x:v>
      </x:c>
      <x:c r="B14" s="30" t="str">
        <x:v>Improvement_Plan</x:v>
      </x:c>
      <x:c r="C14" s="30" t="str">
        <x:v>First 30 days and prioritised actions</x:v>
      </x:c>
      <x:c r="D14" s="30" t="str">
        <x:v>Improve only after understanding current state</x:v>
      </x:c>
      <x:c r="E14" s="30" t="str">
        <x:v>Planning</x:v>
      </x:c>
      <x:c r="F14" s="30" t="str">
        <x:v>Business mindset</x:v>
      </x:c>
    </x:row>
    <x:row r="15">
      <x:c r="A15" s="30" t="n">
        <x:v>12</x:v>
      </x:c>
      <x:c r="B15" s="30" t="str">
        <x:v>PowerBI_Model_Guide</x:v>
      </x:c>
      <x:c r="C15" s="30" t="str">
        <x:v>How to take the workbook into Power BI</x:v>
      </x:c>
      <x:c r="D15" s="30" t="str">
        <x:v>Relationships and suggested measures</x:v>
      </x:c>
      <x:c r="E15" s="30" t="str">
        <x:v>Reference</x:v>
      </x:c>
      <x:c r="F15" s="30" t="str">
        <x:v>Optional advanced demo</x:v>
      </x:c>
    </x:row>
    <x:row r="16">
      <x:c r="A16" s="30" t="n">
        <x:v>13</x:v>
      </x:c>
      <x:c r="B16" s="30" t="str">
        <x:v>Interview_Demo</x:v>
      </x:c>
      <x:c r="C16" s="30" t="str">
        <x:v>5–7 minute presentation flow</x:v>
      </x:c>
      <x:c r="D16" s="30" t="str">
        <x:v>How to explain the project naturally</x:v>
      </x:c>
      <x:c r="E16" s="30" t="str">
        <x:v>Reference</x:v>
      </x:c>
      <x:c r="F16" s="30" t="str">
        <x:v>Presentation</x:v>
      </x:c>
    </x:row>
    <x:row r="17">
      <x:c r="A17" s="30"/>
      <x:c r="B17" s="30"/>
      <x:c r="C17" s="30"/>
      <x:c r="D17" s="30"/>
      <x:c r="E17" s="30"/>
      <x:c r="F17" s="30"/>
    </x:row>
    <x:row r="18">
      <x:c r="A18" s="30"/>
      <x:c r="B18" s="30"/>
      <x:c r="C18" s="30"/>
      <x:c r="D18" s="30"/>
      <x:c r="E18" s="30"/>
      <x:c r="F18" s="30"/>
    </x:row>
    <x:row r="19" ht="28" customHeight="1">
      <x:c r="A19" s="82" t="str">
        <x:v>Rule</x:v>
      </x:c>
      <x:c r="B19" s="82" t="str">
        <x:v>Meaning</x:v>
      </x:c>
      <x:c r="C19" s="30"/>
      <x:c r="D19" s="30"/>
      <x:c r="E19" s="30"/>
      <x:c r="F19" s="30"/>
    </x:row>
    <x:row r="20">
      <x:c r="A20" s="30" t="str">
        <x:v>ONE MASTER FILE</x:v>
      </x:c>
      <x:c r="B20" s="30" t="str">
        <x:v>From this point forward, use only the MASTER workbook. Older Step 2 / Step 3 files are superseded.</x:v>
      </x:c>
      <x:c r="C20" s="30"/>
      <x:c r="D20" s="30"/>
      <x:c r="E20" s="30"/>
      <x:c r="F20" s="30"/>
    </x:row>
    <x:row r="21">
      <x:c r="A21" s="30" t="str">
        <x:v>MOCK DATA ONLY</x:v>
      </x:c>
      <x:c r="B21" s="30" t="str">
        <x:v>Do not tell Urban Edge that these are their actual users, devices, tickets, systems or security findings.</x:v>
      </x:c>
      <x:c r="C21" s="30"/>
      <x:c r="D21" s="30"/>
      <x:c r="E21" s="30"/>
      <x:c r="F21" s="30"/>
    </x:row>
    <x:row r="22">
      <x:c r="A22" s="30" t="str">
        <x:v>EMPLOYEE_ID IS THE KEY</x:v>
      </x:c>
      <x:c r="B22" s="30" t="str">
        <x:v>Employee IDs connect staff to tickets, assets, access and lifecycle records.</x:v>
      </x:c>
      <x:c r="C22" s="30"/>
      <x:c r="D22" s="30"/>
      <x:c r="E22" s="30"/>
      <x:c r="F22" s="30"/>
    </x:row>
    <x:row r="23">
      <x:c r="A23" s="30" t="str">
        <x:v>FORMULAS = DERIVED DATA</x:v>
      </x:c>
      <x:c r="B23" s="30" t="str">
        <x:v>Do not manually type fields such as employee name, department, SLA or compliance when formulas already derive them.</x:v>
      </x:c>
      <x:c r="C23" s="30"/>
      <x:c r="D23" s="30"/>
      <x:c r="E23" s="30"/>
      <x:c r="F23" s="30"/>
    </x:row>
    <x:row r="24">
      <x:c r="A24" s="30" t="str">
        <x:v>PROJECT PURPOSE</x:v>
      </x:c>
      <x:c r="B24" s="30" t="str">
        <x:v>The goal is to demonstrate your approach, not to prescribe Urban Edge's real internal technology stack.</x:v>
      </x:c>
      <x:c r="C24" s="30"/>
      <x:c r="D24" s="30"/>
      <x:c r="E24" s="30"/>
      <x:c r="F24" s="30"/>
    </x:row>
  </x:sheetData>
  <x:mergeCells>
    <x:mergeCell ref="A1:F1"/>
  </x:mergeCells>
  <x:pageMargins left="0.7" right="0.7" top="0.75" bottom="0.75" header="0.3" footer="0.3"/>
</x:worksheet>
</file>